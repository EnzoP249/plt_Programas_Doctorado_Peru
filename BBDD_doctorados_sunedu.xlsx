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f1aef713e2bc9be/Documentos/Trabajo Banco Mundial/Programas de Doctorado/"/>
    </mc:Choice>
  </mc:AlternateContent>
  <xr:revisionPtr revIDLastSave="0" documentId="8_{39171A37-F1DA-4972-8824-B2905C1F00F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2" sheetId="1" r:id="rId1"/>
    <sheet name="BBDD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+oxlbYDSMwhA0M2c0in4HI+JKPT5RePutd2Jv/jlpI="/>
    </ext>
  </extLst>
</workbook>
</file>

<file path=xl/calcChain.xml><?xml version="1.0" encoding="utf-8"?>
<calcChain xmlns="http://schemas.openxmlformats.org/spreadsheetml/2006/main">
  <c r="AZ360" i="2" l="1"/>
  <c r="AR360" i="2"/>
  <c r="AZ359" i="2"/>
  <c r="AZ358" i="2"/>
  <c r="AZ357" i="2"/>
  <c r="AO357" i="2"/>
  <c r="AZ356" i="2"/>
  <c r="AO356" i="2"/>
  <c r="AZ355" i="2"/>
  <c r="AO355" i="2"/>
  <c r="AZ354" i="2"/>
  <c r="AO354" i="2"/>
  <c r="AZ353" i="2"/>
  <c r="AZ352" i="2"/>
  <c r="AO352" i="2"/>
  <c r="AZ351" i="2"/>
  <c r="AO351" i="2"/>
  <c r="AZ350" i="2"/>
  <c r="AO350" i="2"/>
  <c r="AZ349" i="2"/>
  <c r="AO349" i="2"/>
  <c r="AZ348" i="2"/>
  <c r="AO348" i="2"/>
  <c r="AZ347" i="2"/>
  <c r="AO347" i="2"/>
  <c r="AZ346" i="2"/>
  <c r="AO346" i="2"/>
  <c r="AZ345" i="2"/>
  <c r="AO345" i="2"/>
  <c r="AZ344" i="2"/>
  <c r="AZ343" i="2"/>
  <c r="AO343" i="2"/>
  <c r="AZ342" i="2"/>
  <c r="AO342" i="2"/>
  <c r="AZ341" i="2"/>
  <c r="AO341" i="2"/>
  <c r="AZ340" i="2"/>
  <c r="AO340" i="2"/>
  <c r="AZ339" i="2"/>
  <c r="AO339" i="2"/>
  <c r="AZ338" i="2"/>
  <c r="AO338" i="2"/>
  <c r="AZ337" i="2"/>
  <c r="AZ336" i="2"/>
  <c r="AO336" i="2"/>
  <c r="AZ335" i="2"/>
  <c r="AR335" i="2"/>
  <c r="AO335" i="2"/>
  <c r="AZ334" i="2"/>
  <c r="AR334" i="2"/>
  <c r="AZ333" i="2"/>
  <c r="AR333" i="2"/>
  <c r="AO333" i="2"/>
  <c r="AZ332" i="2"/>
  <c r="AR332" i="2"/>
  <c r="AO332" i="2"/>
  <c r="AZ331" i="2"/>
  <c r="AR331" i="2"/>
  <c r="AZ330" i="2"/>
  <c r="AR330" i="2"/>
  <c r="AO330" i="2"/>
  <c r="AZ329" i="2"/>
  <c r="AR329" i="2"/>
  <c r="AO329" i="2"/>
  <c r="AZ328" i="2"/>
  <c r="AR328" i="2"/>
  <c r="AO328" i="2"/>
  <c r="AZ327" i="2"/>
  <c r="AR327" i="2"/>
  <c r="AO327" i="2"/>
  <c r="AZ326" i="2"/>
  <c r="AR326" i="2"/>
  <c r="AO326" i="2"/>
  <c r="AZ325" i="2"/>
  <c r="AR325" i="2"/>
  <c r="AO325" i="2"/>
  <c r="AZ324" i="2"/>
  <c r="AR324" i="2"/>
  <c r="AO324" i="2"/>
  <c r="AZ323" i="2"/>
  <c r="AR323" i="2"/>
  <c r="AO323" i="2"/>
  <c r="AZ322" i="2"/>
  <c r="AR322" i="2"/>
  <c r="AO322" i="2"/>
  <c r="AZ321" i="2"/>
  <c r="AR321" i="2"/>
  <c r="AO321" i="2"/>
  <c r="AZ320" i="2"/>
  <c r="AR320" i="2"/>
  <c r="AZ319" i="2"/>
  <c r="AO319" i="2"/>
  <c r="AZ318" i="2"/>
  <c r="AR318" i="2"/>
  <c r="AZ317" i="2"/>
  <c r="AR317" i="2"/>
  <c r="AO317" i="2"/>
  <c r="AZ316" i="2"/>
  <c r="AO316" i="2"/>
  <c r="AZ315" i="2"/>
  <c r="AO315" i="2"/>
  <c r="AZ314" i="2"/>
  <c r="AO314" i="2"/>
  <c r="AZ313" i="2"/>
  <c r="AZ312" i="2"/>
  <c r="AO312" i="2"/>
  <c r="AZ311" i="2"/>
  <c r="AO311" i="2"/>
  <c r="AZ310" i="2"/>
  <c r="AO310" i="2"/>
  <c r="AZ309" i="2"/>
  <c r="AO309" i="2"/>
  <c r="AZ308" i="2"/>
  <c r="AZ307" i="2"/>
  <c r="AO307" i="2"/>
  <c r="AZ306" i="2"/>
  <c r="AO306" i="2"/>
  <c r="AZ305" i="2"/>
  <c r="AO305" i="2"/>
  <c r="AZ304" i="2"/>
  <c r="AO304" i="2"/>
  <c r="AZ303" i="2"/>
  <c r="AO303" i="2"/>
  <c r="AZ302" i="2"/>
  <c r="AO302" i="2"/>
  <c r="AZ301" i="2"/>
  <c r="AO301" i="2"/>
  <c r="AZ300" i="2"/>
  <c r="AO300" i="2"/>
  <c r="AZ299" i="2"/>
  <c r="AO299" i="2"/>
  <c r="AZ298" i="2"/>
  <c r="AZ297" i="2"/>
  <c r="AO297" i="2"/>
  <c r="AZ296" i="2"/>
  <c r="AO296" i="2"/>
  <c r="AZ295" i="2"/>
  <c r="AO295" i="2"/>
  <c r="AZ294" i="2"/>
  <c r="AO294" i="2"/>
  <c r="AZ293" i="2"/>
  <c r="AO293" i="2"/>
  <c r="AZ292" i="2"/>
  <c r="AO292" i="2"/>
  <c r="AZ291" i="2"/>
  <c r="AO291" i="2"/>
  <c r="AZ290" i="2"/>
  <c r="AZ289" i="2"/>
  <c r="AO289" i="2"/>
  <c r="AZ288" i="2"/>
  <c r="AO288" i="2"/>
  <c r="AZ287" i="2"/>
  <c r="AZ286" i="2"/>
  <c r="AO286" i="2"/>
  <c r="AZ285" i="2"/>
  <c r="AZ284" i="2"/>
  <c r="AO284" i="2"/>
  <c r="AZ283" i="2"/>
  <c r="AO283" i="2"/>
  <c r="AZ282" i="2"/>
  <c r="AO282" i="2"/>
  <c r="AZ281" i="2"/>
  <c r="AO281" i="2"/>
  <c r="AZ280" i="2"/>
  <c r="AO280" i="2"/>
  <c r="AZ279" i="2"/>
  <c r="AO279" i="2"/>
  <c r="AZ278" i="2"/>
  <c r="AO278" i="2"/>
  <c r="AZ277" i="2"/>
  <c r="AO277" i="2"/>
  <c r="AZ276" i="2"/>
  <c r="AZ275" i="2"/>
  <c r="AR275" i="2"/>
  <c r="AO275" i="2"/>
  <c r="AZ274" i="2"/>
  <c r="AR274" i="2"/>
  <c r="AO274" i="2"/>
  <c r="AZ273" i="2"/>
  <c r="AR273" i="2"/>
  <c r="AZ272" i="2"/>
  <c r="AR272" i="2"/>
  <c r="AO272" i="2"/>
  <c r="AZ271" i="2"/>
  <c r="AR271" i="2"/>
  <c r="AO271" i="2"/>
  <c r="AZ270" i="2"/>
  <c r="AR270" i="2"/>
  <c r="AO270" i="2"/>
  <c r="AZ269" i="2"/>
  <c r="AR269" i="2"/>
  <c r="AZ268" i="2"/>
  <c r="AR268" i="2"/>
  <c r="AO268" i="2"/>
  <c r="AZ267" i="2"/>
  <c r="AR267" i="2"/>
  <c r="AO267" i="2"/>
  <c r="AZ266" i="2"/>
  <c r="AR266" i="2"/>
  <c r="AZ265" i="2"/>
  <c r="AR265" i="2"/>
  <c r="AZ264" i="2"/>
  <c r="AR264" i="2"/>
  <c r="AO264" i="2"/>
  <c r="AZ263" i="2"/>
  <c r="AR263" i="2"/>
  <c r="AO263" i="2"/>
  <c r="AZ262" i="2"/>
  <c r="AR262" i="2"/>
  <c r="AO262" i="2"/>
  <c r="AZ261" i="2"/>
  <c r="AR261" i="2"/>
  <c r="AZ260" i="2"/>
  <c r="AR260" i="2"/>
  <c r="AO260" i="2"/>
  <c r="AZ259" i="2"/>
  <c r="AR259" i="2"/>
  <c r="AZ258" i="2"/>
  <c r="AR258" i="2"/>
  <c r="AO258" i="2"/>
  <c r="AZ257" i="2"/>
  <c r="AR257" i="2"/>
  <c r="AO257" i="2"/>
  <c r="AZ256" i="2"/>
  <c r="AR256" i="2"/>
  <c r="AO256" i="2"/>
  <c r="AZ255" i="2"/>
  <c r="AR255" i="2"/>
  <c r="AO255" i="2"/>
  <c r="AZ254" i="2"/>
  <c r="AR254" i="2"/>
  <c r="AZ253" i="2"/>
  <c r="AR253" i="2"/>
  <c r="AO253" i="2"/>
  <c r="AZ252" i="2"/>
  <c r="AR252" i="2"/>
  <c r="AO252" i="2"/>
  <c r="AZ251" i="2"/>
  <c r="AR251" i="2"/>
  <c r="AO251" i="2"/>
  <c r="AZ250" i="2"/>
  <c r="AR250" i="2"/>
  <c r="AO250" i="2"/>
  <c r="AZ249" i="2"/>
  <c r="AR249" i="2"/>
  <c r="AO249" i="2"/>
  <c r="AZ248" i="2"/>
  <c r="AR248" i="2"/>
  <c r="AO248" i="2"/>
  <c r="AZ247" i="2"/>
  <c r="AR247" i="2"/>
  <c r="AO247" i="2"/>
  <c r="AZ246" i="2"/>
  <c r="AR246" i="2"/>
  <c r="AO246" i="2"/>
  <c r="AZ245" i="2"/>
  <c r="AR245" i="2"/>
  <c r="AO245" i="2"/>
  <c r="AZ244" i="2"/>
  <c r="AR244" i="2"/>
  <c r="AO244" i="2"/>
  <c r="AZ243" i="2"/>
  <c r="AR243" i="2"/>
  <c r="AO243" i="2"/>
  <c r="AZ242" i="2"/>
  <c r="AR242" i="2"/>
  <c r="AO242" i="2"/>
  <c r="AZ241" i="2"/>
  <c r="AR241" i="2"/>
  <c r="AO241" i="2"/>
  <c r="AZ240" i="2"/>
  <c r="AR240" i="2"/>
  <c r="AO240" i="2"/>
  <c r="AZ239" i="2"/>
  <c r="AR239" i="2"/>
  <c r="AO239" i="2"/>
  <c r="AZ238" i="2"/>
  <c r="AR238" i="2"/>
  <c r="AO238" i="2"/>
  <c r="AZ237" i="2"/>
  <c r="AR237" i="2"/>
  <c r="AO237" i="2"/>
  <c r="AZ236" i="2"/>
  <c r="AR236" i="2"/>
  <c r="AZ235" i="2"/>
  <c r="AR235" i="2"/>
  <c r="AZ234" i="2"/>
  <c r="AR234" i="2"/>
  <c r="AZ233" i="2"/>
  <c r="AR233" i="2"/>
  <c r="AZ232" i="2"/>
  <c r="AR232" i="2"/>
  <c r="AZ231" i="2"/>
  <c r="AR231" i="2"/>
  <c r="AZ230" i="2"/>
  <c r="AR230" i="2"/>
  <c r="AZ229" i="2"/>
  <c r="AR229" i="2"/>
  <c r="AZ228" i="2"/>
  <c r="AR228" i="2"/>
  <c r="AZ227" i="2"/>
  <c r="AR227" i="2"/>
  <c r="AZ226" i="2"/>
  <c r="AR226" i="2"/>
  <c r="AZ225" i="2"/>
  <c r="AR225" i="2"/>
  <c r="AZ224" i="2"/>
  <c r="AR224" i="2"/>
  <c r="AZ223" i="2"/>
  <c r="AR223" i="2"/>
  <c r="AO223" i="2"/>
  <c r="AZ222" i="2"/>
  <c r="AR222" i="2"/>
  <c r="AO222" i="2"/>
  <c r="AZ221" i="2"/>
  <c r="AR221" i="2"/>
  <c r="AZ220" i="2"/>
  <c r="AR220" i="2"/>
  <c r="AZ219" i="2"/>
  <c r="AR219" i="2"/>
  <c r="AZ218" i="2"/>
  <c r="AR218" i="2"/>
  <c r="AZ217" i="2"/>
  <c r="AR217" i="2"/>
  <c r="AZ216" i="2"/>
  <c r="AR216" i="2"/>
  <c r="AZ215" i="2"/>
  <c r="AR215" i="2"/>
  <c r="AZ214" i="2"/>
  <c r="AR214" i="2"/>
  <c r="AZ213" i="2"/>
  <c r="AR213" i="2"/>
  <c r="AZ212" i="2"/>
  <c r="AR212" i="2"/>
  <c r="AZ211" i="2"/>
  <c r="AR211" i="2"/>
  <c r="AZ210" i="2"/>
  <c r="AR210" i="2"/>
  <c r="AZ209" i="2"/>
  <c r="AO209" i="2"/>
  <c r="AZ208" i="2"/>
  <c r="AO208" i="2"/>
  <c r="AZ207" i="2"/>
  <c r="AO207" i="2"/>
  <c r="AZ206" i="2"/>
  <c r="AO206" i="2"/>
  <c r="AZ205" i="2"/>
  <c r="AO205" i="2"/>
  <c r="AZ204" i="2"/>
  <c r="AR204" i="2"/>
  <c r="AZ203" i="2"/>
  <c r="AR203" i="2"/>
  <c r="AZ202" i="2"/>
  <c r="AR202" i="2"/>
  <c r="AZ201" i="2"/>
  <c r="AR201" i="2"/>
  <c r="AZ200" i="2"/>
  <c r="AR200" i="2"/>
  <c r="AZ199" i="2"/>
  <c r="AR199" i="2"/>
  <c r="AZ198" i="2"/>
  <c r="AR198" i="2"/>
  <c r="AO198" i="2"/>
  <c r="AZ197" i="2"/>
  <c r="AR197" i="2"/>
  <c r="AZ196" i="2"/>
  <c r="AR196" i="2"/>
  <c r="AZ195" i="2"/>
  <c r="AR195" i="2"/>
  <c r="AZ194" i="2"/>
  <c r="AR194" i="2"/>
  <c r="AO194" i="2"/>
  <c r="AZ193" i="2"/>
  <c r="AR193" i="2"/>
  <c r="AZ192" i="2"/>
  <c r="AR192" i="2"/>
  <c r="AO192" i="2"/>
  <c r="AZ191" i="2"/>
  <c r="AR191" i="2"/>
  <c r="AZ190" i="2"/>
  <c r="AR190" i="2"/>
  <c r="AZ189" i="2"/>
  <c r="AR189" i="2"/>
  <c r="AO189" i="2"/>
  <c r="AZ188" i="2"/>
  <c r="AR188" i="2"/>
  <c r="AZ187" i="2"/>
  <c r="AR187" i="2"/>
  <c r="AZ186" i="2"/>
  <c r="AR186" i="2"/>
  <c r="AO186" i="2"/>
  <c r="AZ185" i="2"/>
  <c r="AR185" i="2"/>
  <c r="AZ184" i="2"/>
  <c r="AR184" i="2"/>
  <c r="AZ183" i="2"/>
  <c r="AR183" i="2"/>
  <c r="AO183" i="2"/>
  <c r="AZ182" i="2"/>
  <c r="AR182" i="2"/>
  <c r="AO182" i="2"/>
  <c r="AZ181" i="2"/>
  <c r="AR181" i="2"/>
  <c r="AZ180" i="2"/>
  <c r="AR180" i="2"/>
  <c r="AO180" i="2"/>
  <c r="AZ179" i="2"/>
  <c r="AR179" i="2"/>
  <c r="AO179" i="2"/>
  <c r="AZ178" i="2"/>
  <c r="AR178" i="2"/>
  <c r="AZ177" i="2"/>
  <c r="AR177" i="2"/>
  <c r="AZ176" i="2"/>
  <c r="AR176" i="2"/>
  <c r="AO176" i="2"/>
  <c r="AZ175" i="2"/>
  <c r="AR175" i="2"/>
  <c r="AO175" i="2"/>
  <c r="AZ174" i="2"/>
  <c r="AR174" i="2"/>
  <c r="AZ173" i="2"/>
  <c r="AR173" i="2"/>
  <c r="AO173" i="2"/>
  <c r="AZ172" i="2"/>
  <c r="AR172" i="2"/>
  <c r="AO172" i="2"/>
  <c r="AZ171" i="2"/>
  <c r="AR171" i="2"/>
  <c r="AO171" i="2"/>
  <c r="AZ170" i="2"/>
  <c r="AR170" i="2"/>
  <c r="AO170" i="2"/>
  <c r="AZ169" i="2"/>
  <c r="AR169" i="2"/>
  <c r="AO169" i="2"/>
  <c r="AZ168" i="2"/>
  <c r="AR168" i="2"/>
  <c r="AO168" i="2"/>
  <c r="AZ167" i="2"/>
  <c r="AR167" i="2"/>
  <c r="AO167" i="2"/>
  <c r="AZ166" i="2"/>
  <c r="AR166" i="2"/>
  <c r="AZ165" i="2"/>
  <c r="AR165" i="2"/>
  <c r="AZ164" i="2"/>
  <c r="AR164" i="2"/>
  <c r="AO164" i="2"/>
  <c r="AZ163" i="2"/>
  <c r="AR163" i="2"/>
  <c r="AZ162" i="2"/>
  <c r="AR162" i="2"/>
  <c r="AO162" i="2"/>
  <c r="AZ161" i="2"/>
  <c r="AR161" i="2"/>
  <c r="AO161" i="2"/>
  <c r="AZ160" i="2"/>
  <c r="AR160" i="2"/>
  <c r="AO160" i="2"/>
  <c r="AZ159" i="2"/>
  <c r="AR159" i="2"/>
  <c r="AO159" i="2"/>
  <c r="AZ158" i="2"/>
  <c r="AR158" i="2"/>
  <c r="AO158" i="2"/>
  <c r="AZ157" i="2"/>
  <c r="AR157" i="2"/>
  <c r="AO157" i="2"/>
  <c r="AZ156" i="2"/>
  <c r="AR156" i="2"/>
  <c r="AZ155" i="2"/>
  <c r="AR155" i="2"/>
  <c r="AZ154" i="2"/>
  <c r="AR154" i="2"/>
  <c r="AZ153" i="2"/>
  <c r="AR153" i="2"/>
  <c r="AO153" i="2"/>
  <c r="AZ152" i="2"/>
  <c r="AR152" i="2"/>
  <c r="AZ151" i="2"/>
  <c r="AR151" i="2"/>
  <c r="AO151" i="2"/>
  <c r="AZ150" i="2"/>
  <c r="AR150" i="2"/>
  <c r="AZ149" i="2"/>
  <c r="AR149" i="2"/>
  <c r="AO149" i="2"/>
  <c r="AZ148" i="2"/>
  <c r="AR148" i="2"/>
  <c r="AO148" i="2"/>
  <c r="AZ147" i="2"/>
  <c r="AR147" i="2"/>
  <c r="AO147" i="2"/>
  <c r="AZ146" i="2"/>
  <c r="AR146" i="2"/>
  <c r="AO146" i="2"/>
  <c r="AZ145" i="2"/>
  <c r="AR145" i="2"/>
  <c r="AZ144" i="2"/>
  <c r="AR144" i="2"/>
  <c r="AO144" i="2"/>
  <c r="AZ143" i="2"/>
  <c r="AR143" i="2"/>
  <c r="AO143" i="2"/>
  <c r="AZ142" i="2"/>
  <c r="AR142" i="2"/>
  <c r="AO142" i="2"/>
  <c r="AZ141" i="2"/>
  <c r="AR141" i="2"/>
  <c r="AO141" i="2"/>
  <c r="AZ140" i="2"/>
  <c r="AR140" i="2"/>
  <c r="AO140" i="2"/>
  <c r="AZ139" i="2"/>
  <c r="AR139" i="2"/>
  <c r="AO139" i="2"/>
  <c r="AZ138" i="2"/>
  <c r="AR138" i="2"/>
  <c r="AZ137" i="2"/>
  <c r="AR137" i="2"/>
  <c r="AO137" i="2"/>
  <c r="AZ136" i="2"/>
  <c r="AR136" i="2"/>
  <c r="AZ135" i="2"/>
  <c r="AR135" i="2"/>
  <c r="AO135" i="2"/>
  <c r="AZ134" i="2"/>
  <c r="AR134" i="2"/>
  <c r="AO134" i="2"/>
  <c r="AZ133" i="2"/>
  <c r="AR133" i="2"/>
  <c r="AZ132" i="2"/>
  <c r="AR132" i="2"/>
  <c r="AZ131" i="2"/>
  <c r="AR131" i="2"/>
  <c r="AO131" i="2"/>
  <c r="AZ130" i="2"/>
  <c r="AR130" i="2"/>
  <c r="AO130" i="2"/>
  <c r="AZ129" i="2"/>
  <c r="AR129" i="2"/>
  <c r="AO129" i="2"/>
  <c r="AZ128" i="2"/>
  <c r="AR128" i="2"/>
  <c r="AZ127" i="2"/>
  <c r="AR127" i="2"/>
  <c r="AO127" i="2"/>
  <c r="AZ126" i="2"/>
  <c r="AR126" i="2"/>
  <c r="AZ125" i="2"/>
  <c r="AR125" i="2"/>
  <c r="AO125" i="2"/>
  <c r="AZ124" i="2"/>
  <c r="AR124" i="2"/>
  <c r="AZ123" i="2"/>
  <c r="AR123" i="2"/>
  <c r="AO123" i="2"/>
  <c r="AZ122" i="2"/>
  <c r="AR122" i="2"/>
  <c r="AZ121" i="2"/>
  <c r="AR121" i="2"/>
  <c r="AZ120" i="2"/>
  <c r="AR120" i="2"/>
  <c r="AO120" i="2"/>
  <c r="AZ119" i="2"/>
  <c r="AR119" i="2"/>
  <c r="AZ118" i="2"/>
  <c r="AR118" i="2"/>
  <c r="AZ117" i="2"/>
  <c r="AR117" i="2"/>
  <c r="AZ116" i="2"/>
  <c r="AR116" i="2"/>
  <c r="AZ115" i="2"/>
  <c r="AR115" i="2"/>
  <c r="AZ114" i="2"/>
  <c r="AO114" i="2"/>
  <c r="AZ113" i="2"/>
  <c r="AO113" i="2"/>
  <c r="AZ112" i="2"/>
  <c r="AO112" i="2"/>
  <c r="AZ111" i="2"/>
  <c r="AO111" i="2"/>
  <c r="AZ110" i="2"/>
  <c r="AZ109" i="2"/>
  <c r="AO109" i="2"/>
  <c r="AZ108" i="2"/>
  <c r="AO108" i="2"/>
  <c r="AZ107" i="2"/>
  <c r="AO107" i="2"/>
  <c r="AZ106" i="2"/>
  <c r="AO106" i="2"/>
  <c r="AZ105" i="2"/>
  <c r="AO105" i="2"/>
  <c r="AZ104" i="2"/>
  <c r="AO104" i="2"/>
  <c r="AZ103" i="2"/>
  <c r="AO103" i="2"/>
  <c r="AZ102" i="2"/>
  <c r="AO102" i="2"/>
  <c r="AZ101" i="2"/>
  <c r="AO101" i="2"/>
  <c r="AZ100" i="2"/>
  <c r="AO100" i="2"/>
  <c r="AZ99" i="2"/>
  <c r="AR99" i="2"/>
  <c r="AZ98" i="2"/>
  <c r="AR98" i="2"/>
  <c r="AZ97" i="2"/>
  <c r="AR97" i="2"/>
  <c r="AO97" i="2"/>
  <c r="AZ96" i="2"/>
  <c r="AR96" i="2"/>
  <c r="AO96" i="2"/>
  <c r="AZ95" i="2"/>
  <c r="AR95" i="2"/>
  <c r="AO95" i="2"/>
  <c r="AZ94" i="2"/>
  <c r="AR94" i="2"/>
  <c r="AO94" i="2"/>
  <c r="AZ93" i="2"/>
  <c r="AR93" i="2"/>
  <c r="AZ92" i="2"/>
  <c r="AR92" i="2"/>
  <c r="AO92" i="2"/>
  <c r="AZ91" i="2"/>
  <c r="AR91" i="2"/>
  <c r="AZ90" i="2"/>
  <c r="AR90" i="2"/>
  <c r="AO90" i="2"/>
  <c r="AZ89" i="2"/>
  <c r="AR89" i="2"/>
  <c r="AO89" i="2"/>
  <c r="AZ88" i="2"/>
  <c r="AR88" i="2"/>
  <c r="AZ87" i="2"/>
  <c r="AR87" i="2"/>
  <c r="AO87" i="2"/>
  <c r="AZ86" i="2"/>
  <c r="AR86" i="2"/>
  <c r="AO86" i="2"/>
  <c r="AZ85" i="2"/>
  <c r="AR85" i="2"/>
  <c r="AO85" i="2"/>
  <c r="AZ84" i="2"/>
  <c r="AR84" i="2"/>
  <c r="AZ83" i="2"/>
  <c r="AR83" i="2"/>
  <c r="AZ82" i="2"/>
  <c r="AR82" i="2"/>
  <c r="AZ81" i="2"/>
  <c r="AR81" i="2"/>
  <c r="AO81" i="2"/>
  <c r="AZ80" i="2"/>
  <c r="AR80" i="2"/>
  <c r="AO80" i="2"/>
  <c r="AZ79" i="2"/>
  <c r="AR79" i="2"/>
  <c r="AO79" i="2"/>
  <c r="AZ78" i="2"/>
  <c r="AR78" i="2"/>
  <c r="AO78" i="2"/>
  <c r="AZ77" i="2"/>
  <c r="AR77" i="2"/>
  <c r="AO77" i="2"/>
  <c r="AZ76" i="2"/>
  <c r="AR76" i="2"/>
  <c r="AZ75" i="2"/>
  <c r="AR75" i="2"/>
  <c r="AZ74" i="2"/>
  <c r="AR74" i="2"/>
  <c r="AO74" i="2"/>
  <c r="AZ73" i="2"/>
  <c r="AR73" i="2"/>
  <c r="AO73" i="2"/>
  <c r="AZ72" i="2"/>
  <c r="AR72" i="2"/>
  <c r="AO72" i="2"/>
  <c r="AZ71" i="2"/>
  <c r="AR71" i="2"/>
  <c r="AZ70" i="2"/>
  <c r="AR70" i="2"/>
  <c r="AO70" i="2"/>
  <c r="AZ69" i="2"/>
  <c r="AR69" i="2"/>
  <c r="AO69" i="2"/>
  <c r="AZ68" i="2"/>
  <c r="AR68" i="2"/>
  <c r="AZ67" i="2"/>
  <c r="AR67" i="2"/>
  <c r="AO67" i="2"/>
  <c r="AZ66" i="2"/>
  <c r="AR66" i="2"/>
  <c r="AZ65" i="2"/>
  <c r="AR65" i="2"/>
  <c r="AO65" i="2"/>
  <c r="AZ64" i="2"/>
  <c r="AR64" i="2"/>
  <c r="AO64" i="2"/>
  <c r="AZ63" i="2"/>
  <c r="AR63" i="2"/>
  <c r="AO63" i="2"/>
  <c r="AZ62" i="2"/>
  <c r="AR62" i="2"/>
  <c r="AO62" i="2"/>
  <c r="AZ61" i="2"/>
  <c r="AR61" i="2"/>
  <c r="AO61" i="2"/>
  <c r="AZ60" i="2"/>
  <c r="AR60" i="2"/>
  <c r="AZ59" i="2"/>
  <c r="AR59" i="2"/>
  <c r="AO59" i="2"/>
  <c r="AZ58" i="2"/>
  <c r="AR58" i="2"/>
  <c r="AZ57" i="2"/>
  <c r="AR57" i="2"/>
  <c r="AO57" i="2"/>
  <c r="AZ56" i="2"/>
  <c r="AR56" i="2"/>
  <c r="AO56" i="2"/>
  <c r="AZ55" i="2"/>
  <c r="AR55" i="2"/>
  <c r="AO55" i="2"/>
  <c r="AZ54" i="2"/>
  <c r="AR54" i="2"/>
  <c r="AO54" i="2"/>
  <c r="AZ53" i="2"/>
  <c r="AR53" i="2"/>
  <c r="AZ52" i="2"/>
  <c r="AR52" i="2"/>
  <c r="AO52" i="2"/>
  <c r="AZ51" i="2"/>
  <c r="AR51" i="2"/>
  <c r="AO51" i="2"/>
  <c r="AZ50" i="2"/>
  <c r="AR50" i="2"/>
  <c r="AO50" i="2"/>
  <c r="AZ49" i="2"/>
  <c r="AR49" i="2"/>
  <c r="AO49" i="2"/>
  <c r="AZ48" i="2"/>
  <c r="AR48" i="2"/>
  <c r="AO48" i="2"/>
  <c r="AZ47" i="2"/>
  <c r="AR47" i="2"/>
  <c r="AO47" i="2"/>
  <c r="AZ46" i="2"/>
  <c r="AR46" i="2"/>
  <c r="AO46" i="2"/>
  <c r="AZ45" i="2"/>
  <c r="AR45" i="2"/>
  <c r="AO45" i="2"/>
  <c r="AZ44" i="2"/>
  <c r="AR44" i="2"/>
  <c r="AO44" i="2"/>
  <c r="AZ43" i="2"/>
  <c r="AR43" i="2"/>
  <c r="AO43" i="2"/>
  <c r="AZ42" i="2"/>
  <c r="AR42" i="2"/>
  <c r="AO42" i="2"/>
  <c r="AZ41" i="2"/>
  <c r="AR41" i="2"/>
  <c r="AO41" i="2"/>
  <c r="AZ40" i="2"/>
  <c r="AR40" i="2"/>
  <c r="AO40" i="2"/>
  <c r="AZ39" i="2"/>
  <c r="AR39" i="2"/>
  <c r="AO39" i="2"/>
  <c r="AZ38" i="2"/>
  <c r="AR38" i="2"/>
  <c r="AO38" i="2"/>
  <c r="AZ37" i="2"/>
  <c r="AR37" i="2"/>
  <c r="AO37" i="2"/>
  <c r="AZ36" i="2"/>
  <c r="AR36" i="2"/>
  <c r="AO36" i="2"/>
  <c r="AZ35" i="2"/>
  <c r="AR35" i="2"/>
  <c r="AO35" i="2"/>
  <c r="AZ34" i="2"/>
  <c r="AR34" i="2"/>
  <c r="AO34" i="2"/>
  <c r="AZ33" i="2"/>
  <c r="AR33" i="2"/>
  <c r="AO33" i="2"/>
  <c r="AZ32" i="2"/>
  <c r="AR32" i="2"/>
  <c r="AO32" i="2"/>
  <c r="AZ31" i="2"/>
  <c r="AR31" i="2"/>
  <c r="AO31" i="2"/>
  <c r="AZ30" i="2"/>
  <c r="AR30" i="2"/>
  <c r="AO30" i="2"/>
  <c r="AZ29" i="2"/>
  <c r="AR29" i="2"/>
  <c r="AO29" i="2"/>
  <c r="AZ28" i="2"/>
  <c r="AR28" i="2"/>
  <c r="AZ27" i="2"/>
  <c r="AR27" i="2"/>
  <c r="AO27" i="2"/>
  <c r="AZ26" i="2"/>
  <c r="AR26" i="2"/>
  <c r="AO26" i="2"/>
  <c r="AZ25" i="2"/>
  <c r="AR25" i="2"/>
  <c r="AO25" i="2"/>
  <c r="AZ24" i="2"/>
  <c r="AR24" i="2"/>
  <c r="AO24" i="2"/>
  <c r="AZ23" i="2"/>
  <c r="AR23" i="2"/>
  <c r="AO23" i="2"/>
  <c r="AZ22" i="2"/>
  <c r="AR22" i="2"/>
  <c r="AO22" i="2"/>
  <c r="AZ21" i="2"/>
  <c r="AR21" i="2"/>
  <c r="AZ20" i="2"/>
  <c r="AR20" i="2"/>
  <c r="AZ19" i="2"/>
  <c r="AR19" i="2"/>
  <c r="AO19" i="2"/>
  <c r="AZ18" i="2"/>
  <c r="AR18" i="2"/>
  <c r="AZ17" i="2"/>
  <c r="AR17" i="2"/>
  <c r="AZ16" i="2"/>
  <c r="AR16" i="2"/>
  <c r="AO16" i="2"/>
  <c r="AZ15" i="2"/>
  <c r="AR15" i="2"/>
  <c r="AO15" i="2"/>
  <c r="AZ14" i="2"/>
  <c r="AR14" i="2"/>
  <c r="AO14" i="2"/>
  <c r="AZ13" i="2"/>
  <c r="AR13" i="2"/>
  <c r="AZ12" i="2"/>
  <c r="AR12" i="2"/>
  <c r="AO12" i="2"/>
  <c r="AZ11" i="2"/>
  <c r="AR11" i="2"/>
  <c r="AZ10" i="2"/>
  <c r="AR10" i="2"/>
  <c r="AO10" i="2"/>
  <c r="AZ9" i="2"/>
  <c r="AR9" i="2"/>
  <c r="AO9" i="2"/>
  <c r="AZ8" i="2"/>
  <c r="AR8" i="2"/>
  <c r="AO8" i="2"/>
  <c r="AZ7" i="2"/>
  <c r="AR7" i="2"/>
  <c r="AO7" i="2"/>
  <c r="AZ6" i="2"/>
  <c r="AR6" i="2"/>
  <c r="AZ5" i="2"/>
  <c r="AR5" i="2"/>
  <c r="AZ4" i="2"/>
  <c r="AR4" i="2"/>
  <c r="AO4" i="2"/>
  <c r="AZ3" i="2"/>
  <c r="AR3" i="2"/>
  <c r="AO3" i="2"/>
  <c r="AZ2" i="2"/>
  <c r="AR2" i="2"/>
</calcChain>
</file>

<file path=xl/sharedStrings.xml><?xml version="1.0" encoding="utf-8"?>
<sst xmlns="http://schemas.openxmlformats.org/spreadsheetml/2006/main" count="6075" uniqueCount="1200">
  <si>
    <t>DES_INV_IIISUNEDU</t>
  </si>
  <si>
    <t>Suma de egresados_2022-1</t>
  </si>
  <si>
    <t>Suma de egresados_2022-2</t>
  </si>
  <si>
    <t>Suma de egresados_2023-1</t>
  </si>
  <si>
    <t>Suma de egresados_2023-2</t>
  </si>
  <si>
    <t>Suma de egresados_2023-3</t>
  </si>
  <si>
    <t>Suma de egresados_2024-1</t>
  </si>
  <si>
    <t>Suma de egresados_2024-2</t>
  </si>
  <si>
    <t>ALTO</t>
  </si>
  <si>
    <t>BAJO</t>
  </si>
  <si>
    <t>LICENCIA DENEGADA</t>
  </si>
  <si>
    <t>MEDIO-ALTO</t>
  </si>
  <si>
    <t>MEDIO-BAJO</t>
  </si>
  <si>
    <t>concat</t>
  </si>
  <si>
    <t>CÓDIGO (INEI-SIU-G1)</t>
  </si>
  <si>
    <t>CODIGO_INEI</t>
  </si>
  <si>
    <t>NOMBRE_ENTIDAD</t>
  </si>
  <si>
    <t>SIGLA</t>
  </si>
  <si>
    <t>TIPO_ENTIDAD</t>
  </si>
  <si>
    <t>TIPO_GESTION</t>
  </si>
  <si>
    <t>TIPO_CONSTITUCION</t>
  </si>
  <si>
    <t>LICENCIA</t>
  </si>
  <si>
    <t>Vigencia del licenciamiento</t>
  </si>
  <si>
    <t>Vigencia</t>
  </si>
  <si>
    <t>Distrito</t>
  </si>
  <si>
    <t>Provincia</t>
  </si>
  <si>
    <t>Departamento</t>
  </si>
  <si>
    <t>Gran dominio</t>
  </si>
  <si>
    <t>ÁREA OCDE</t>
  </si>
  <si>
    <t>NOMBRE_PROGRAMA</t>
  </si>
  <si>
    <t>Financiamiento PROCIENCIA</t>
  </si>
  <si>
    <t>mat_2020-1</t>
  </si>
  <si>
    <t>mat_2020-2</t>
  </si>
  <si>
    <t>mat_2021-1</t>
  </si>
  <si>
    <t>mat_2021-2</t>
  </si>
  <si>
    <t>mat_2022-1</t>
  </si>
  <si>
    <t>mat_2022-2</t>
  </si>
  <si>
    <t>mat_2023-1</t>
  </si>
  <si>
    <t>mat_2023-2</t>
  </si>
  <si>
    <t>mat_2024-1</t>
  </si>
  <si>
    <t>mat_2024-2</t>
  </si>
  <si>
    <t>mat_2025-1</t>
  </si>
  <si>
    <t>ORIGEN DATOS SUNEDU</t>
  </si>
  <si>
    <t>Mat-1</t>
  </si>
  <si>
    <t>Mat-1_mujer</t>
  </si>
  <si>
    <t>Mat-1_hombre</t>
  </si>
  <si>
    <t>Promedio de EDADmat-1</t>
  </si>
  <si>
    <t>Máx. de EDADmat-1</t>
  </si>
  <si>
    <t>Mín. de EDADmat-1</t>
  </si>
  <si>
    <t>Desvest de EDADmat-1</t>
  </si>
  <si>
    <t>postulantes</t>
  </si>
  <si>
    <t>ingresantes</t>
  </si>
  <si>
    <t>Tasa ingreso</t>
  </si>
  <si>
    <t>mat_ext</t>
  </si>
  <si>
    <t>mat_per</t>
  </si>
  <si>
    <t>Tasamatext</t>
  </si>
  <si>
    <t>egresados_2022-1</t>
  </si>
  <si>
    <t>egresados_2022-2</t>
  </si>
  <si>
    <t>egresados_2023-1</t>
  </si>
  <si>
    <t>egresados_2023-2</t>
  </si>
  <si>
    <t>egresados_2023-3</t>
  </si>
  <si>
    <t>egresados_2024-1</t>
  </si>
  <si>
    <t>egresados_2024-2</t>
  </si>
  <si>
    <t>Universidad Peruana Cayetano HerediaDoctorado en Ciencias con Mención en Bioquímica y Biología Molecular</t>
  </si>
  <si>
    <t>260000014-206-9</t>
  </si>
  <si>
    <t>Universidad Peruana Cayetano Heredia</t>
  </si>
  <si>
    <t>UPCH</t>
  </si>
  <si>
    <t>Universidad</t>
  </si>
  <si>
    <t>Privado</t>
  </si>
  <si>
    <t>Asociativa- Sin fines de lucro</t>
  </si>
  <si>
    <t>LICENCIADA</t>
  </si>
  <si>
    <t>2016 - 2026</t>
  </si>
  <si>
    <t>SAN MARTÍN DE PORRES</t>
  </si>
  <si>
    <t xml:space="preserve"> LIMA</t>
  </si>
  <si>
    <t>LIMA</t>
  </si>
  <si>
    <t>3. Ciencias Médicas y de la Salud</t>
  </si>
  <si>
    <t>Doctorado en Ciencias con Mención en Bioquímica y Biología Molecular</t>
  </si>
  <si>
    <t>2024-1</t>
  </si>
  <si>
    <t>Universidad Peruana Cayetano HerediaDoctorado en Ciencias en Investigación Epidemiológica</t>
  </si>
  <si>
    <t>260000014-214-0</t>
  </si>
  <si>
    <t>5. Ciencias Sociales</t>
  </si>
  <si>
    <t>Doctorado en Ciencias en Investigación Epidemiológica</t>
  </si>
  <si>
    <t>Universidad Nacional de IngenieríaDoctorado en Ciencias con Mención en Química</t>
  </si>
  <si>
    <t>160000006-7-5</t>
  </si>
  <si>
    <t>Universidad Nacional de Ingeniería</t>
  </si>
  <si>
    <t>UNI</t>
  </si>
  <si>
    <t>Público</t>
  </si>
  <si>
    <t>Pública</t>
  </si>
  <si>
    <t>2017 - 2027</t>
  </si>
  <si>
    <t>RÍMAC</t>
  </si>
  <si>
    <t>1. Ciencias Naturales</t>
  </si>
  <si>
    <t>Doctorado en Ciencias con Mención en Química</t>
  </si>
  <si>
    <t>2015;2023</t>
  </si>
  <si>
    <t>2024-2</t>
  </si>
  <si>
    <t>Universidad de San Martín de PorresGobierno y Política Pública</t>
  </si>
  <si>
    <t>260000019-123-3</t>
  </si>
  <si>
    <t>Universidad de San Martín de Porres</t>
  </si>
  <si>
    <t>USMP</t>
  </si>
  <si>
    <t>2017 - 2023</t>
  </si>
  <si>
    <t>SANTA ANITA</t>
  </si>
  <si>
    <t>Gobierno y Política Pública</t>
  </si>
  <si>
    <t>Universidad Nacional de San Antonio Abad del CuscoDoctorado en Derecho</t>
  </si>
  <si>
    <t>160000003-87-4</t>
  </si>
  <si>
    <t>Universidad Nacional de San Antonio Abad del Cusco</t>
  </si>
  <si>
    <t>UNSAAC</t>
  </si>
  <si>
    <t>2019 - 2027</t>
  </si>
  <si>
    <t>CUSCO</t>
  </si>
  <si>
    <t xml:space="preserve"> CUSCO</t>
  </si>
  <si>
    <t>SIERRA</t>
  </si>
  <si>
    <t>Doctorado en Derecho</t>
  </si>
  <si>
    <t>2020-1</t>
  </si>
  <si>
    <t>Pontificia Universidad Católica del PerúFísica</t>
  </si>
  <si>
    <t>260000008-125-5</t>
  </si>
  <si>
    <t>Pontificia Universidad Católica del Perú</t>
  </si>
  <si>
    <t>PUCP</t>
  </si>
  <si>
    <t>SAN MIGUEL</t>
  </si>
  <si>
    <t>Física</t>
  </si>
  <si>
    <t>Universidad Nacional de IngenieríaDoctorado en Ciencias con Mención en Física</t>
  </si>
  <si>
    <t>160000006-5-5</t>
  </si>
  <si>
    <t>Doctorado en Ciencias con Mención en Física</t>
  </si>
  <si>
    <t>2015;2018;2023</t>
  </si>
  <si>
    <t>Universidad Nacional Mayor de San MarcosCiencias Biológicas</t>
  </si>
  <si>
    <t>160000001-40-5</t>
  </si>
  <si>
    <t>Universidad Nacional Mayor de San Marcos</t>
  </si>
  <si>
    <t>UNMSM</t>
  </si>
  <si>
    <t>2018 - 2028</t>
  </si>
  <si>
    <t>Ciencias Biológicas</t>
  </si>
  <si>
    <t>Universidad Nacional Agraria La MolinaNutrición</t>
  </si>
  <si>
    <t>160000007-38-9</t>
  </si>
  <si>
    <t>Universidad Nacional Agraria La Molina</t>
  </si>
  <si>
    <t>UNALM</t>
  </si>
  <si>
    <t>2017 - 2025</t>
  </si>
  <si>
    <t>LA MOLINA</t>
  </si>
  <si>
    <t>Nutrición</t>
  </si>
  <si>
    <t>Pontificia Universidad Católica del PerúDoctorado en Teología</t>
  </si>
  <si>
    <t>26000149A-22-2</t>
  </si>
  <si>
    <t>6. Humanidades</t>
  </si>
  <si>
    <t>Doctorado en Teología</t>
  </si>
  <si>
    <t>2025-1</t>
  </si>
  <si>
    <t>Pontificia Universidad Católica del PerúIngeniería</t>
  </si>
  <si>
    <t>260000008-161-7</t>
  </si>
  <si>
    <t>2. Ingeniería y Tecnología</t>
  </si>
  <si>
    <t>Ingeniería</t>
  </si>
  <si>
    <t>2018;2020</t>
  </si>
  <si>
    <t>Universidad de PiuraDoctorado en Ingeniería, Mención Automatización, Control y Optimización de Procesos</t>
  </si>
  <si>
    <t>260000029-28-7</t>
  </si>
  <si>
    <t>Universidad de Piura</t>
  </si>
  <si>
    <t>UDEP</t>
  </si>
  <si>
    <t>PIURA</t>
  </si>
  <si>
    <t xml:space="preserve"> PIURA</t>
  </si>
  <si>
    <t>COSTA</t>
  </si>
  <si>
    <t>Doctorado en Ingeniería, Mención Automatización, Control y Optimización de Procesos</t>
  </si>
  <si>
    <t>Pontificia Universidad Católica del PerúFilosofía</t>
  </si>
  <si>
    <t>260000008-120-2</t>
  </si>
  <si>
    <t>Filosofía</t>
  </si>
  <si>
    <t>Universidad Peruana Cayetano HerediaDoctorado en Estomatología</t>
  </si>
  <si>
    <t>260000014-211-9</t>
  </si>
  <si>
    <t>Doctorado en Estomatología</t>
  </si>
  <si>
    <t>Pontificia Universidad Católica del PerúMatemáticas</t>
  </si>
  <si>
    <t>260000008-201-5</t>
  </si>
  <si>
    <t>Matemáticas</t>
  </si>
  <si>
    <t>Universidad de PiuraDoctorado en Derecho</t>
  </si>
  <si>
    <t>260000029-24-4</t>
  </si>
  <si>
    <t>Universidad Nacional Mayor de San MarcosEconomía</t>
  </si>
  <si>
    <t>160000001-81-3</t>
  </si>
  <si>
    <t>Economía</t>
  </si>
  <si>
    <t>Universidad de San Martín de PorresDerecho</t>
  </si>
  <si>
    <t>260000019-45-4</t>
  </si>
  <si>
    <t>Derecho</t>
  </si>
  <si>
    <t>Pontificia Universidad Católica del PerúEstudios Psicoanalíticos</t>
  </si>
  <si>
    <t>260000008-117-3</t>
  </si>
  <si>
    <t>Estudios Psicoanalíticos</t>
  </si>
  <si>
    <t>Universidad Peruana Cayetano HerediaDoctorado en Ciencias con Mención en Microbiología</t>
  </si>
  <si>
    <t>260000014-207-5</t>
  </si>
  <si>
    <t>Doctorado en Ciencias con Mención en Microbiología</t>
  </si>
  <si>
    <t>2020-2</t>
  </si>
  <si>
    <t>Universidad de San Martín de PorresOdontología</t>
  </si>
  <si>
    <t>260000019-175-9</t>
  </si>
  <si>
    <t>Odontología</t>
  </si>
  <si>
    <t>Pontificia Universidad Católica del PerúLingüística con Mención en Estudios Andinos</t>
  </si>
  <si>
    <t>260000008-188-2</t>
  </si>
  <si>
    <t>Lingüística con Mención en Estudios Andinos</t>
  </si>
  <si>
    <t>Universidad Nacional Agraria La MolinaIngeniería y Ciencias Ambientales</t>
  </si>
  <si>
    <t>160000007-32-5</t>
  </si>
  <si>
    <t>Ingeniería y Ciencias Ambientales</t>
  </si>
  <si>
    <t>Universidad Nacional Mayor de San MarcosLingüística</t>
  </si>
  <si>
    <t>160000001-218-2</t>
  </si>
  <si>
    <t>Lingüística</t>
  </si>
  <si>
    <t>Pontificia Universidad Católica del PerúDerecho</t>
  </si>
  <si>
    <t>260000008-51-4</t>
  </si>
  <si>
    <t>Universidad Nacional de San Antonio Abad del CuscoDoctorado en Administración</t>
  </si>
  <si>
    <t>160000003-86-4</t>
  </si>
  <si>
    <t>Doctorado en Administración</t>
  </si>
  <si>
    <t>Universidad Nacional Mayor de San MarcosMedicina Veterinaria</t>
  </si>
  <si>
    <t>160000001-385-8</t>
  </si>
  <si>
    <t>4. Ciencias Agrícolas</t>
  </si>
  <si>
    <t>Medicina Veterinaria</t>
  </si>
  <si>
    <t>Pontificia Universidad Católica del PerúEconomía</t>
  </si>
  <si>
    <t>260000008-83-3</t>
  </si>
  <si>
    <t>Pontificia Universidad Católica del PerúLiteratura Hispanoamericana</t>
  </si>
  <si>
    <t>260000008-81-2</t>
  </si>
  <si>
    <t>Literatura Hispanoamericana</t>
  </si>
  <si>
    <t>Universidad Nacional Mayor de San MarcosDerecho y Ciencia Política</t>
  </si>
  <si>
    <t>160000001-71-4</t>
  </si>
  <si>
    <t>Derecho y Ciencia Política</t>
  </si>
  <si>
    <t>Universidad Nacional Agraria La MolinaEconomía de Los Recursos Naturales y el Desarrollo Sustentable</t>
  </si>
  <si>
    <t>160000007-18-3</t>
  </si>
  <si>
    <t>Economía de Los Recursos Naturales y el Desarrollo Sustentable</t>
  </si>
  <si>
    <t>Pontificia Universidad Católica del PerúPsicología</t>
  </si>
  <si>
    <t>260000008-237-3</t>
  </si>
  <si>
    <t>Psicología</t>
  </si>
  <si>
    <t>Universidad Nacional Mayor de San MarcosEnfermería</t>
  </si>
  <si>
    <t>160000001-118-9</t>
  </si>
  <si>
    <t>Enfermería</t>
  </si>
  <si>
    <t>Universidad Nacional Agraria La MolinaCiencias e Ingeniería Biológicas</t>
  </si>
  <si>
    <t>160000007-11-5</t>
  </si>
  <si>
    <t>Ciencias e Ingeniería Biológicas</t>
  </si>
  <si>
    <t>Pontificia Universidad Católica del PerúAdministración Estratégica de Empresas</t>
  </si>
  <si>
    <t>260000008-6-</t>
  </si>
  <si>
    <t>Administración Estratégica de Empresas</t>
  </si>
  <si>
    <t>Universidad Nacional de IngenieríaDoctorado en Ciencias e Ingeniería Ambientales con mención en Abastecimiento de Agua y Saneamiento</t>
  </si>
  <si>
    <t>160000006-200-5</t>
  </si>
  <si>
    <t>Doctorado en Ciencias e Ingeniería Ambientales con mención en Abastecimiento de Agua y Saneamiento</t>
  </si>
  <si>
    <t>Universidad Peruana Cayetano HerediaDoctorado en Psicología</t>
  </si>
  <si>
    <t>260000014-209-3</t>
  </si>
  <si>
    <t>Doctorado en Psicología</t>
  </si>
  <si>
    <t>Universidad de San Martín de PorresAdministración</t>
  </si>
  <si>
    <t>260000019-2-4</t>
  </si>
  <si>
    <t>Administración</t>
  </si>
  <si>
    <t>Pontificia Universidad Católica del PerúGestión Estratégica con Mención en Gestión Empresarial y Sostenibilidad</t>
  </si>
  <si>
    <t>260000008-143-4</t>
  </si>
  <si>
    <t>Gestión Estratégica con Mención en Gestión Empresarial y Sostenibilidad</t>
  </si>
  <si>
    <t>Universidad de San Martín de PorresPsicología</t>
  </si>
  <si>
    <t>260000019-198-3</t>
  </si>
  <si>
    <t>Pontificia Universidad Católica del PerúCiencia Política y Gobierno</t>
  </si>
  <si>
    <t>260000008-29-3</t>
  </si>
  <si>
    <t>Ciencia Política y Gobierno</t>
  </si>
  <si>
    <t>Universidad Peruana Cayetano HerediaDoctorado en Ciencias De La Vida</t>
  </si>
  <si>
    <t>260000014-208-5</t>
  </si>
  <si>
    <t>Doctorado en Ciencias De La Vida</t>
  </si>
  <si>
    <t>Universidad Nacional Mayor de San MarcosCiencias Administrativas</t>
  </si>
  <si>
    <t>160000001-36-4</t>
  </si>
  <si>
    <t>Ciencias Administrativas</t>
  </si>
  <si>
    <t>Universidad Nacional Agraria La MolinaRecursos Hídricos</t>
  </si>
  <si>
    <t>160000007-44-5</t>
  </si>
  <si>
    <t>Recursos Hídricos</t>
  </si>
  <si>
    <t>Universidad Nacional Mayor de San MarcosCiencias de la Salud</t>
  </si>
  <si>
    <t>160000001-44-9</t>
  </si>
  <si>
    <t>Ciencias de la Salud</t>
  </si>
  <si>
    <t>Universidad Nacional Mayor de San MarcosIngeniería de Sistemas e Informática</t>
  </si>
  <si>
    <t>160000001-191-6</t>
  </si>
  <si>
    <t>Ingeniería de Sistemas e Informática</t>
  </si>
  <si>
    <t>Universidad Peruana Cayetano HerediaDoctorado en Salud Pública</t>
  </si>
  <si>
    <t>260000014-213-0</t>
  </si>
  <si>
    <t>Doctorado en Salud Pública</t>
  </si>
  <si>
    <t>Universidad Nacional Mayor de San MarcosPsicología</t>
  </si>
  <si>
    <t>160000001-421-3</t>
  </si>
  <si>
    <t>Universidad Nacional Agraria La MolinaCiencia de Alimentos</t>
  </si>
  <si>
    <t>160000007-10-7</t>
  </si>
  <si>
    <t>Ciencia de Alimentos</t>
  </si>
  <si>
    <t>2015;2018</t>
  </si>
  <si>
    <t>Pontificia Universidad Católica del PerúSociología</t>
  </si>
  <si>
    <t>260000008-254-3</t>
  </si>
  <si>
    <t>Sociología</t>
  </si>
  <si>
    <t>Pontificia Universidad Católica del PerúGestión Estratégica con Mención en Innovación y Gestión en Educación Superior</t>
  </si>
  <si>
    <t>260000008-144-1</t>
  </si>
  <si>
    <t>Gestión Estratégica con Mención en Innovación y Gestión en Educación Superior</t>
  </si>
  <si>
    <t>Universidad de San Martín de PorresRelaciones Públicas (Virtual: Semipresencial)</t>
  </si>
  <si>
    <t>260000019-214-4</t>
  </si>
  <si>
    <t>Relaciones Públicas (Virtual: Semipresencial)</t>
  </si>
  <si>
    <t>Pontificia Universidad Católica del PerúHistoria con Mención en Estudios Andinos</t>
  </si>
  <si>
    <t>260000008-153-2</t>
  </si>
  <si>
    <t>Historia con Mención en Estudios Andinos</t>
  </si>
  <si>
    <t>Pontificia Universidad Católica del PerúAntropología</t>
  </si>
  <si>
    <t>260000008-11-3</t>
  </si>
  <si>
    <t>Antropología</t>
  </si>
  <si>
    <t>Universidad Nacional Mayor de San MarcosCiencias Ambientales</t>
  </si>
  <si>
    <t>160000001-37-5</t>
  </si>
  <si>
    <t>Ciencias Ambientales</t>
  </si>
  <si>
    <t>Universidad Nacional Mayor de San MarcosCiencias Contables y Empresariales</t>
  </si>
  <si>
    <t>160000001-42-4</t>
  </si>
  <si>
    <t>Ciencias Contables y Empresariales</t>
  </si>
  <si>
    <t>Universidad de San Martín de PorresPeriodismo (Virtual: Semipresencial)</t>
  </si>
  <si>
    <t>260000019-191-3</t>
  </si>
  <si>
    <t>Periodismo (Virtual: Semipresencial)</t>
  </si>
  <si>
    <t>2023-1</t>
  </si>
  <si>
    <t>Universidad Nacional Mayor de San MarcosEducación y Docencia Universitaria</t>
  </si>
  <si>
    <t>160000001-113-1</t>
  </si>
  <si>
    <t>Educación y Docencia Universitaria</t>
  </si>
  <si>
    <t>Universidad Nacional Mayor de San MarcosGestión Económica Global</t>
  </si>
  <si>
    <t>160000001-172-3</t>
  </si>
  <si>
    <t>Gestión Económica Global</t>
  </si>
  <si>
    <t>Universidad Peruana Cayetano HerediaDoctorado en Medicina</t>
  </si>
  <si>
    <t>260000014-212-9</t>
  </si>
  <si>
    <t>Doctorado en Medicina</t>
  </si>
  <si>
    <t>Universidad Nacional Mayor de San MarcosHistoria del Arte</t>
  </si>
  <si>
    <t>160000001-181-2</t>
  </si>
  <si>
    <t>Historia del Arte</t>
  </si>
  <si>
    <t>Universidad de San Martín de PorresEducación</t>
  </si>
  <si>
    <t>260000019-65-1</t>
  </si>
  <si>
    <t>Educación</t>
  </si>
  <si>
    <t>Universidad de San Martín de PorresCiencias Contables y Financieras</t>
  </si>
  <si>
    <t>260000019-17-4</t>
  </si>
  <si>
    <t>Ciencias Contables y Financieras</t>
  </si>
  <si>
    <t>Universidad Nacional Mayor de San MarcosLiteratura Peruana y Latinoamericana</t>
  </si>
  <si>
    <t>160000001-223-2</t>
  </si>
  <si>
    <t>Literatura Peruana y Latinoamericana</t>
  </si>
  <si>
    <t>Universidad de San Martín de PorresTurismo (Virtual: Semipresencial)</t>
  </si>
  <si>
    <t>260000019-223-0</t>
  </si>
  <si>
    <t>Turismo (Virtual: Semipresencial)</t>
  </si>
  <si>
    <t>Universidad de San Martín de PorresSalud Pública</t>
  </si>
  <si>
    <t>260000019-218-0</t>
  </si>
  <si>
    <t>Salud Pública</t>
  </si>
  <si>
    <t>Universidad de PiuraDoctorado en Educación</t>
  </si>
  <si>
    <t>260000029-25-1</t>
  </si>
  <si>
    <t>Doctorado en Educación</t>
  </si>
  <si>
    <t>Pontificia Universidad Católica del PerúHISTORIA</t>
  </si>
  <si>
    <t>260000008-80-2</t>
  </si>
  <si>
    <t>Historia</t>
  </si>
  <si>
    <t>Universidad Peruana Cayetano HerediaDoctorado en Educación</t>
  </si>
  <si>
    <t>260000014-316-1</t>
  </si>
  <si>
    <t>Universidad de PiuraDoctorado en Humanidades con Mención en Estudios Sobre Cultura</t>
  </si>
  <si>
    <t>260000029-27-3</t>
  </si>
  <si>
    <t>Doctorado en Humanidades con Mención en Estudios Sobre Cultura</t>
  </si>
  <si>
    <t>Universidad Nacional Mayor de San MarcosMatemática Pura</t>
  </si>
  <si>
    <t>160000001-370-5</t>
  </si>
  <si>
    <t>Matemática Pura</t>
  </si>
  <si>
    <t>Universidad Nacional Mayor de San MarcosMedicina</t>
  </si>
  <si>
    <t>160000001-372-9</t>
  </si>
  <si>
    <t>Medicina</t>
  </si>
  <si>
    <t>Universidad de San Martín de PorresRelaciones Públicas</t>
  </si>
  <si>
    <t>260000019-410-4</t>
  </si>
  <si>
    <t>Relaciones Públicas</t>
  </si>
  <si>
    <t>Pontificia Universidad Católica del PerúCiencias de la Educación</t>
  </si>
  <si>
    <t>260000008-36-1</t>
  </si>
  <si>
    <t>Ciencias de la Educación</t>
  </si>
  <si>
    <t>Universidad Nacional Mayor de San MarcosIngeniería Industrial</t>
  </si>
  <si>
    <t>160000001-203-7</t>
  </si>
  <si>
    <t>Ingeniería Industrial</t>
  </si>
  <si>
    <t>Universidad Nacional Mayor de San MarcosPolítica Fiscal y Sistema Tributario</t>
  </si>
  <si>
    <t>160000001-411-4</t>
  </si>
  <si>
    <t>Política Fiscal y Sistema Tributario</t>
  </si>
  <si>
    <t>Pontificia Universidad Católica del PerúArqueología con Mención en Estudios Andinos</t>
  </si>
  <si>
    <t>260000008-19-2</t>
  </si>
  <si>
    <t>Arqueología con Mención en Estudios Andinos</t>
  </si>
  <si>
    <t>Universidad Nacional Agraria La MolinaAgricultura Sustentable</t>
  </si>
  <si>
    <t>160000007-3-8</t>
  </si>
  <si>
    <t>Agricultura Sustentable</t>
  </si>
  <si>
    <t>Universidad Nacional Mayor de San MarcosCiencias Sociales</t>
  </si>
  <si>
    <t>160000001-47-3</t>
  </si>
  <si>
    <t>Ciencias Sociales</t>
  </si>
  <si>
    <t>Universidad Nacional de IngenieríaDoctorado en Ciencias e Ingeniería Ambientales con mención en Desarrollo Sostenible</t>
  </si>
  <si>
    <t>160000006-199-5</t>
  </si>
  <si>
    <t>Doctorado en Ciencias e Ingeniería Ambientales con mención en Desarrollo Sostenible</t>
  </si>
  <si>
    <t>Universidad Nacional Mayor de San MarcosCiencias Químicas</t>
  </si>
  <si>
    <t>160000001-46-5</t>
  </si>
  <si>
    <t>Ciencias Químicas</t>
  </si>
  <si>
    <t>Pontificia Universidad Católica del PerúAntropología con Mención en Estudios Andinos</t>
  </si>
  <si>
    <t>260000008-13-3</t>
  </si>
  <si>
    <t>Antropología con Mención en Estudios Andinos</t>
  </si>
  <si>
    <t>Universidad Nacional Mayor de San MarcosFarmacia y Bioquímica</t>
  </si>
  <si>
    <t>160000001-145-9</t>
  </si>
  <si>
    <t>Farmacia y Bioquímica</t>
  </si>
  <si>
    <t>Universidad de San Martín de PorresMedicina</t>
  </si>
  <si>
    <t>260000019-141-9</t>
  </si>
  <si>
    <t>Universidad Nacional Mayor de San MarcosDoctorado en Ingeniería Industrial</t>
  </si>
  <si>
    <t>160000001-759-</t>
  </si>
  <si>
    <t>Doctorado en Ingeniería Industrial</t>
  </si>
  <si>
    <t>Universidad Nacional de IngenieríaDoctorado en Ciencias e Ingeniería Ambientales con mención en Seguridad Industrial y Salud en el Trabajo</t>
  </si>
  <si>
    <t>160000006-201-5</t>
  </si>
  <si>
    <t>Doctorado en Ciencias e Ingeniería Ambientales con mención en Seguridad Industrial y Salud en el Trabajo</t>
  </si>
  <si>
    <t>Universidad Nacional Mayor de San MarcosNeurociencias</t>
  </si>
  <si>
    <t>160000001-390-9</t>
  </si>
  <si>
    <t>Neurociencias</t>
  </si>
  <si>
    <t>Universidad Nacional Mayor de San MarcosFilosofía</t>
  </si>
  <si>
    <t>160000001-148-2</t>
  </si>
  <si>
    <t>Universidad Nacional Mayor de San MarcosFísica</t>
  </si>
  <si>
    <t>160000001-151-5</t>
  </si>
  <si>
    <t>Universidad Nacional Mayor de San MarcosEstomatología</t>
  </si>
  <si>
    <t>160000001-137-9</t>
  </si>
  <si>
    <t>Estomatología</t>
  </si>
  <si>
    <t>Universidad Nacional Mayor de San MarcosDoctorado en Gerencia de Empresas</t>
  </si>
  <si>
    <t>160000001-761-</t>
  </si>
  <si>
    <t>Doctorado en Gerencia de Empresas</t>
  </si>
  <si>
    <t>Universidad Nacional Mayor de San MarcosGestión de Empresas</t>
  </si>
  <si>
    <t>160000001-168-4</t>
  </si>
  <si>
    <t>Gestión de Empresas</t>
  </si>
  <si>
    <t>Universidad Nacional Agraria La MolinaCiencia Animal</t>
  </si>
  <si>
    <t>160000007-9-8</t>
  </si>
  <si>
    <t>Ciencia Animal</t>
  </si>
  <si>
    <t>Universidad Nacional Mayor de San MarcosDoctorado en Comunicación, Periodismo y Medios Digitales</t>
  </si>
  <si>
    <t>160000001-748-</t>
  </si>
  <si>
    <t>Doctorado en Comunicación, Periodismo y Medios Digitales</t>
  </si>
  <si>
    <t>Universidad Nacional de IngenieríaDoctorado en Ingeniería de Sistemas</t>
  </si>
  <si>
    <t>160000006-8-6</t>
  </si>
  <si>
    <t>Doctorado en Ingeniería de Sistemas</t>
  </si>
  <si>
    <t>Universidad Nacional de IngenieríaDoctorado en Ciencias con Mención en Matemática</t>
  </si>
  <si>
    <t>160000006-6-5</t>
  </si>
  <si>
    <t>Doctorado en Ciencias con Mención en Matemática</t>
  </si>
  <si>
    <t>Universidad Nacional Mayor de San MarcosIngeniería Química</t>
  </si>
  <si>
    <t>160000001-209-5</t>
  </si>
  <si>
    <t>Ingeniería Química</t>
  </si>
  <si>
    <t>Universidad Peruana Cayetano HerediaDoctorado en Ciencias con Mención en Fisiología</t>
  </si>
  <si>
    <t>260000014-205-9</t>
  </si>
  <si>
    <t>Doctorado en Ciencias con Mención en Fisiología</t>
  </si>
  <si>
    <t>Universidad Nacional de la Amazonía PeruanaDoctorado en Ambiente y Desarrollo Sostenible</t>
  </si>
  <si>
    <t>160000011-12-5</t>
  </si>
  <si>
    <t>Universidad Nacional de la Amazonía Peruana</t>
  </si>
  <si>
    <t>UNAP</t>
  </si>
  <si>
    <t>Licenciada</t>
  </si>
  <si>
    <t>SAN JUAN BAUTISTA</t>
  </si>
  <si>
    <t xml:space="preserve"> MAYNAS</t>
  </si>
  <si>
    <t>LORETO</t>
  </si>
  <si>
    <t>SELVA</t>
  </si>
  <si>
    <t>Doctorado en Ambiente y Desarrollo Sostenible</t>
  </si>
  <si>
    <t>Universidad Nacional de la Amazonía PeruanaDoctorado en Ciencias Ambientales</t>
  </si>
  <si>
    <t>160000011-13-5</t>
  </si>
  <si>
    <t>Doctorado en Ciencias Ambientales</t>
  </si>
  <si>
    <t>Universidad Nacional de IngenieríaDoctorado en Ciencias e Ingeniería Civil</t>
  </si>
  <si>
    <t>160000006-205-7</t>
  </si>
  <si>
    <t>Doctorado en Ciencias e Ingeniería Civil</t>
  </si>
  <si>
    <t>Universidad Nacional de IngenieríaDoctorado en Ciencias e Ingeniería Estadística</t>
  </si>
  <si>
    <t>160000006-207-5</t>
  </si>
  <si>
    <t>Doctorado en Ciencias e Ingeniería Estadística</t>
  </si>
  <si>
    <t>Universidad Nacional de la Amazonía PeruanaDoctorado en Ciencias Empresariales</t>
  </si>
  <si>
    <t>160000011-15-4</t>
  </si>
  <si>
    <t>Doctorado en Ciencias Empresariales</t>
  </si>
  <si>
    <t>Universidad Nacional de IngenieríaDoctorado en Ciencias en Arquitectura</t>
  </si>
  <si>
    <t>160000006-204-7</t>
  </si>
  <si>
    <t>Doctorado en Ciencias en Arquitectura</t>
  </si>
  <si>
    <t>Universidad Nacional de la Amazonía PeruanaDoctorado en Ciencias en Salud Pública</t>
  </si>
  <si>
    <t>160000011-17-0</t>
  </si>
  <si>
    <t>Doctorado en Ciencias en Salud Pública</t>
  </si>
  <si>
    <t>Universidad Nacional de la Amazonía PeruanaDoctorado en Derecho</t>
  </si>
  <si>
    <t>160000011-18-4</t>
  </si>
  <si>
    <t>Universidad Científica del Sur S.A.C.Doctorado en Educación</t>
  </si>
  <si>
    <t>260000068-213-</t>
  </si>
  <si>
    <t>Universidad Científica del Sur S.A.C.</t>
  </si>
  <si>
    <t>UCSUR</t>
  </si>
  <si>
    <t>Societaria- Con fines de lucro</t>
  </si>
  <si>
    <t>2018 - 2024</t>
  </si>
  <si>
    <t>VILLA EL SALVADOR</t>
  </si>
  <si>
    <t>Universidad Nacional de la Amazonía PeruanaDoctorado en Educación</t>
  </si>
  <si>
    <t>160000011-19-1</t>
  </si>
  <si>
    <t>260000014-353-</t>
  </si>
  <si>
    <t>Doctorado en Enfermeria</t>
  </si>
  <si>
    <t>Universidad Nacional de IngenieríaDoctorado en Gobierno y Políticas Públicas</t>
  </si>
  <si>
    <t>160000006-202-3</t>
  </si>
  <si>
    <t>Doctorado en Gobierno y Políticas Públicas</t>
  </si>
  <si>
    <t>Universidad Nacional de la Amazonía PeruanaDoctorado en Ingeniería de Sistemas</t>
  </si>
  <si>
    <t>160000011-20-6</t>
  </si>
  <si>
    <t>Universidad Nacional de IngenieríaDoctorado en Ingeniería Industrial</t>
  </si>
  <si>
    <t>160000006-9-7</t>
  </si>
  <si>
    <t>Universidad de San Martín de PorresTurismo</t>
  </si>
  <si>
    <t>260000019-411-0</t>
  </si>
  <si>
    <t>Turismo</t>
  </si>
  <si>
    <t>Universidad Nacional del SantaDoctorado en Ingeniería en Energía</t>
  </si>
  <si>
    <t>160000042-18-7</t>
  </si>
  <si>
    <t>Universidad Nacional del Santa</t>
  </si>
  <si>
    <t>UNS</t>
  </si>
  <si>
    <t>2019 - 2025</t>
  </si>
  <si>
    <t>NUEVO CHIMBOTE</t>
  </si>
  <si>
    <t xml:space="preserve"> SANTA</t>
  </si>
  <si>
    <t>ÁNCASH</t>
  </si>
  <si>
    <t>Doctorado en Ingeniería en Energía</t>
  </si>
  <si>
    <t>Universidad Nacional del SantaDoctorado en Psicología</t>
  </si>
  <si>
    <t>160000042-23-3</t>
  </si>
  <si>
    <t>Universidad Nacional del SantaDoctorado en Ingeniería Química</t>
  </si>
  <si>
    <t>160000042-20-5</t>
  </si>
  <si>
    <t>Doctorado en Ingeniería Química</t>
  </si>
  <si>
    <t>Universidad de HuánucoDoctorado en Ciencias de la Salud</t>
  </si>
  <si>
    <t>260000047-35-9</t>
  </si>
  <si>
    <t>Universidad de Huánuco</t>
  </si>
  <si>
    <t>UDH</t>
  </si>
  <si>
    <t>HUANUCO</t>
  </si>
  <si>
    <t xml:space="preserve"> HUÁNUCO</t>
  </si>
  <si>
    <t>HUÁNUCO</t>
  </si>
  <si>
    <t>Doctorado en Ciencias de la Salud</t>
  </si>
  <si>
    <t>Universidad Nacional Jorge Basadre GrohmannDoctorado en Epidemiología</t>
  </si>
  <si>
    <t>160000032-21-0</t>
  </si>
  <si>
    <t>Universidad Nacional Jorge Basadre Grohmann</t>
  </si>
  <si>
    <t>UNJBG</t>
  </si>
  <si>
    <t>TACNA</t>
  </si>
  <si>
    <t xml:space="preserve"> TACNA</t>
  </si>
  <si>
    <t>Doctorado en Epidemiología</t>
  </si>
  <si>
    <t>Universidad Nacional del Centro del PerúDoctorado en Ciencias de la Salud y Salud Pública</t>
  </si>
  <si>
    <t>160000010-15-0</t>
  </si>
  <si>
    <t>Universidad Nacional del Centro del Perú</t>
  </si>
  <si>
    <t>UNCP</t>
  </si>
  <si>
    <t>EL TAMBO</t>
  </si>
  <si>
    <t xml:space="preserve"> HUANCAYO</t>
  </si>
  <si>
    <t>JUNÍN</t>
  </si>
  <si>
    <t>Doctorado en Ciencias de la Salud y Salud Pública</t>
  </si>
  <si>
    <t>Universidad Nacional del SantaDoctorado en Ingeniería Mecánica</t>
  </si>
  <si>
    <t>160000042-19-7</t>
  </si>
  <si>
    <t>Doctorado en Ingeniería Mecánica</t>
  </si>
  <si>
    <t>Universidad Privada de TacnaDoctorado en Derecho Penal y Política Criminal</t>
  </si>
  <si>
    <t>260000043-16-4</t>
  </si>
  <si>
    <t>Universidad Privada de Tacna</t>
  </si>
  <si>
    <t>UPT</t>
  </si>
  <si>
    <t>POCOLLAY</t>
  </si>
  <si>
    <t>Doctorado en Derecho Penal y Política Criminal</t>
  </si>
  <si>
    <t>Universidad Nacional Hermilio Valdizán de HuánucoAdministración</t>
  </si>
  <si>
    <t>160000023-92-4</t>
  </si>
  <si>
    <t>Universidad Nacional Hermilio Valdizán de Huánuco</t>
  </si>
  <si>
    <t>UNHEVAL</t>
  </si>
  <si>
    <t>PILLCO MARCA</t>
  </si>
  <si>
    <t>Universidad Peruana Los AndesDoctorado en Derecho</t>
  </si>
  <si>
    <t>260000037-57-4</t>
  </si>
  <si>
    <t>Universidad Peruana Los Andes</t>
  </si>
  <si>
    <t>UPLA</t>
  </si>
  <si>
    <t>2020 - 2026</t>
  </si>
  <si>
    <t>HUANCAYO</t>
  </si>
  <si>
    <t>2021-2</t>
  </si>
  <si>
    <t>Universidad Nacional Hermilio Valdizán de HuánucoMedio Ambiente y Desarrollo Sostenible</t>
  </si>
  <si>
    <t>160000023-100-5</t>
  </si>
  <si>
    <t>Medio Ambiente y Desarrollo Sostenible</t>
  </si>
  <si>
    <t>Universidad Nacional Hermilio Valdizán de HuánucoContabilidad</t>
  </si>
  <si>
    <t>160000023-97-4</t>
  </si>
  <si>
    <t>Contabilidad</t>
  </si>
  <si>
    <t>Universidad Nacional del CallaoCiencias de la Salud</t>
  </si>
  <si>
    <t>160000027-61-9</t>
  </si>
  <si>
    <t>Universidad Nacional del Callao</t>
  </si>
  <si>
    <t>UNAC</t>
  </si>
  <si>
    <t>BELLAVISTA</t>
  </si>
  <si>
    <t xml:space="preserve"> PROV. CONST. DEL CALLAO</t>
  </si>
  <si>
    <t>CALLAO</t>
  </si>
  <si>
    <t>Universidad Nacional del SantaDoctorado en Ingeniería de Alimentos</t>
  </si>
  <si>
    <t>160000042-16-7</t>
  </si>
  <si>
    <t>Doctorado en Ingeniería de Alimentos</t>
  </si>
  <si>
    <t>Universidad Nacional Hermilio Valdizán de HuánucoDerecho</t>
  </si>
  <si>
    <t>160000023-96-4</t>
  </si>
  <si>
    <t>Universidad de HuánucoDoctorado en Ciencias de la Educación</t>
  </si>
  <si>
    <t>260000047-34-1</t>
  </si>
  <si>
    <t>Doctorado en Ciencias de la Educación</t>
  </si>
  <si>
    <t>Universidad Nacional Hermilio Valdizán de HuánucoCiencias de la Salud</t>
  </si>
  <si>
    <t>160000023-94-9</t>
  </si>
  <si>
    <t>Universidad Privada de TacnaDoctorado en Derecho</t>
  </si>
  <si>
    <t>260000043-13-4</t>
  </si>
  <si>
    <t>Universidad Nacional del SantaDoctorado en Ingeniería Bioquímica</t>
  </si>
  <si>
    <t>160000042-14-9</t>
  </si>
  <si>
    <t>Doctorado en Ingeniería Bioquímica</t>
  </si>
  <si>
    <t>Universidad Andina del CuscoCiencias de la Salud</t>
  </si>
  <si>
    <t>260000039-8-9</t>
  </si>
  <si>
    <t>Universidad Andina del Cusco</t>
  </si>
  <si>
    <t>UAC</t>
  </si>
  <si>
    <t>SAN JERÓNIMO</t>
  </si>
  <si>
    <t>Universidad Andina del CuscoAdministración</t>
  </si>
  <si>
    <t>260000039-3-4</t>
  </si>
  <si>
    <t>Universidad Nacional del SantaDoctorado en Ingeniería Civil</t>
  </si>
  <si>
    <t>160000042-15-7</t>
  </si>
  <si>
    <t>Doctorado en Ingeniería Civil</t>
  </si>
  <si>
    <t>Universidad de HuánucoDoctorado en Derecho</t>
  </si>
  <si>
    <t>260000047-36-4</t>
  </si>
  <si>
    <t>Universidad Católica Santo Toribio de MogrovejoDoctorado en Enfermería</t>
  </si>
  <si>
    <t>260000069-8-9</t>
  </si>
  <si>
    <t>Universidad Católica Santo Toribio de Mogrovejo</t>
  </si>
  <si>
    <t>USAT</t>
  </si>
  <si>
    <t>CHICLAYO</t>
  </si>
  <si>
    <t xml:space="preserve"> CHICLAYO</t>
  </si>
  <si>
    <t>LAMBAYEQUE</t>
  </si>
  <si>
    <t>Doctorado en Enfermería</t>
  </si>
  <si>
    <t>Universidad Nacional del Centro del PerúDoctorado en Seguridad y Control en Minería</t>
  </si>
  <si>
    <t>160000010-16-7</t>
  </si>
  <si>
    <t>Doctorado en Seguridad y Control en Minería</t>
  </si>
  <si>
    <t>Universidad Nacional del Centro del PerúDoctorado en Administración</t>
  </si>
  <si>
    <t>160000010-12-4</t>
  </si>
  <si>
    <t>Universidad César Vallejo S.A.C.Doctorado en Psicología</t>
  </si>
  <si>
    <t>260000052-74-3</t>
  </si>
  <si>
    <t>Universidad César Vallejo S.A.C.</t>
  </si>
  <si>
    <t>UCV</t>
  </si>
  <si>
    <t>VICTOR LARCO HERRERA</t>
  </si>
  <si>
    <t xml:space="preserve"> TRUJILLO</t>
  </si>
  <si>
    <t>LA LIBERTAD</t>
  </si>
  <si>
    <t>260000037-139-</t>
  </si>
  <si>
    <t>Universidad Andina del CuscoDerecho</t>
  </si>
  <si>
    <t>260000039-16-4</t>
  </si>
  <si>
    <t>Universidad Nacional Hermilio Valdizán de HuánucoCiencias de la Educación</t>
  </si>
  <si>
    <t>160000023-93-1</t>
  </si>
  <si>
    <t>Universidad Nacional del SantaDoctorado en Ingeniería Agroindustrial</t>
  </si>
  <si>
    <t>160000042-13-8</t>
  </si>
  <si>
    <t>Doctorado en Ingeniería Agroindustrial</t>
  </si>
  <si>
    <t>Universidad César Vallejo S.A.C.Doctorado en Derecho</t>
  </si>
  <si>
    <t>260000052-70-4</t>
  </si>
  <si>
    <t>Universidad Nacional Jorge Basadre GrohmannDoctorado en Ciencias de la Educación</t>
  </si>
  <si>
    <t>160000032-20-1</t>
  </si>
  <si>
    <t>Universidad Nacional del Centro del PerúDoctorado en Ingeniería de Sistemas</t>
  </si>
  <si>
    <t>160000010-17-6</t>
  </si>
  <si>
    <t>Universidad Andina del CuscoMedio Ambiente y Desarrollo Sostenible</t>
  </si>
  <si>
    <t>260000039-53-5</t>
  </si>
  <si>
    <t>Universidad Nacional del SantaDoctorado en Física</t>
  </si>
  <si>
    <t>160000042-12-5</t>
  </si>
  <si>
    <t>Doctorado en Física</t>
  </si>
  <si>
    <t>Universidad Nacional del CallaoSalud Pública</t>
  </si>
  <si>
    <t>160000027-65-0</t>
  </si>
  <si>
    <t>Universidad César Vallejo S.A.C.Doctorado en Comunicación Social</t>
  </si>
  <si>
    <t>260000052-69-3</t>
  </si>
  <si>
    <t>Doctorado en Comunicación Social</t>
  </si>
  <si>
    <t>Universidad Privada de TacnaDoctorado en Educación con Mención en Gestión Educativa</t>
  </si>
  <si>
    <t>260000043-20-1</t>
  </si>
  <si>
    <t>Doctorado en Educación con Mención en Gestión Educativa</t>
  </si>
  <si>
    <t>Universidad Privada de TacnaDoctorado en Administración</t>
  </si>
  <si>
    <t>260000043-1-4</t>
  </si>
  <si>
    <t>Universidad Señor de Sipán S.A.C.Doctorado en Ciencias de la Educación</t>
  </si>
  <si>
    <t>260000072-38-1</t>
  </si>
  <si>
    <t>Universidad Señor de Sipán S.A.C.</t>
  </si>
  <si>
    <t>USS</t>
  </si>
  <si>
    <t>PIMENTEL</t>
  </si>
  <si>
    <t>Universidad Nacional José Faustino Sánchez CarriónDoctorado en Ciencia y Tecnología de los Alimentos</t>
  </si>
  <si>
    <t>160000028-86-7</t>
  </si>
  <si>
    <t>Universidad Nacional José Faustino Sánchez Carrión</t>
  </si>
  <si>
    <t>UNJFSC</t>
  </si>
  <si>
    <t>HUACHO</t>
  </si>
  <si>
    <t xml:space="preserve"> HUAURA</t>
  </si>
  <si>
    <t>Doctorado en Ciencia y Tecnología de los Alimentos</t>
  </si>
  <si>
    <t>Universidad Femenina del Sagrado CorazónDoctorado en Psicología</t>
  </si>
  <si>
    <t>260000020-20-3</t>
  </si>
  <si>
    <t>Universidad Femenina del Sagrado Corazón</t>
  </si>
  <si>
    <t>UNIFE</t>
  </si>
  <si>
    <t>2016 - 2022</t>
  </si>
  <si>
    <t>Universidad Andina del CuscoPsicología</t>
  </si>
  <si>
    <t>260000039-56-3</t>
  </si>
  <si>
    <t>Universidad Nacional Hermilio Valdizán de HuánucoGestión Empresarial</t>
  </si>
  <si>
    <t>160000023-98-4</t>
  </si>
  <si>
    <t>Gestión Empresarial</t>
  </si>
  <si>
    <t>Universidad Nacional del Centro del PerúDoctorado en Ciencias Ambientales y Desarrollo Sostenible</t>
  </si>
  <si>
    <t>160000010-13-5</t>
  </si>
  <si>
    <t>Doctorado en Ciencias Ambientales y Desarrollo Sostenible</t>
  </si>
  <si>
    <t>Universidad Nacional José Faustino Sánchez CarriónDoctorado en Ciencias de la Educación</t>
  </si>
  <si>
    <t>160000028-88-1</t>
  </si>
  <si>
    <t>Universidad Nacional del CallaoIngeniería de Sistemas</t>
  </si>
  <si>
    <t>160000027-94-6</t>
  </si>
  <si>
    <t>Ingeniería de Sistemas</t>
  </si>
  <si>
    <t>Universidad Nacional José Faustino Sánchez CarriónDoctorado en Salud Pública</t>
  </si>
  <si>
    <t>160000028-91-0</t>
  </si>
  <si>
    <t>Universidad Nacional Jorge Basadre GrohmannDoctorado en Administración</t>
  </si>
  <si>
    <t>160000032-17-4</t>
  </si>
  <si>
    <t>Universidad Nacional Hermilio Valdizán de HuánucoCiencias Económicas y Sociales, Mención: Economía y Sociología</t>
  </si>
  <si>
    <t>160000023-95-3</t>
  </si>
  <si>
    <t>Ciencias Económicas y Sociales, Mención: Economía y Sociología</t>
  </si>
  <si>
    <t>Universidad Andina del CuscoContabilidad</t>
  </si>
  <si>
    <t>260000039-13-4</t>
  </si>
  <si>
    <t>Universidad César Vallejo S.A.C.Doctorado en Gestión Pública y Gobernabilidad</t>
  </si>
  <si>
    <t>260000052-72-4</t>
  </si>
  <si>
    <t>Doctorado en Gestión Pública y Gobernabilidad</t>
  </si>
  <si>
    <t>Universidad Nacional del CallaoEducación</t>
  </si>
  <si>
    <t>160000027-62-1</t>
  </si>
  <si>
    <t>Universidad Nacional del Centro del PerúDoctorado en Ciencias de la Educación</t>
  </si>
  <si>
    <t>160000010-14-1</t>
  </si>
  <si>
    <t>Universidad Nacional José Faustino Sánchez CarriónDoctorado en Administración</t>
  </si>
  <si>
    <t>160000028-85-4</t>
  </si>
  <si>
    <t>Universidad Nacional del CallaoAdministración</t>
  </si>
  <si>
    <t>160000027-58-4</t>
  </si>
  <si>
    <t>Universidad Nacional del CallaoAdministración en Salud</t>
  </si>
  <si>
    <t>160000027-59-4</t>
  </si>
  <si>
    <t>Administración en Salud</t>
  </si>
  <si>
    <t>Universidad César Vallejo S.A.C.Doctorado en Administración</t>
  </si>
  <si>
    <t>260000052-66-4</t>
  </si>
  <si>
    <t>Universidad Nacional del SantaDoctorado en Enfermería</t>
  </si>
  <si>
    <t>160000042-10-9</t>
  </si>
  <si>
    <t>Universidad Nacional Jorge Basadre GrohmannDoctorado en Ciencias Ambientales</t>
  </si>
  <si>
    <t>160000032-18-5</t>
  </si>
  <si>
    <t>Universidad Femenina del Sagrado CorazónDoctorado en Educación</t>
  </si>
  <si>
    <t>260000020-19-1</t>
  </si>
  <si>
    <t>Universidad Nacional del SantaDoctorado en Matemática</t>
  </si>
  <si>
    <t>160000042-21-5</t>
  </si>
  <si>
    <t>Doctorado en Matemática</t>
  </si>
  <si>
    <t>Universidad Nacional de UcayaliDoctorado en Administración</t>
  </si>
  <si>
    <t>160000035-8-4</t>
  </si>
  <si>
    <t>Universidad Nacional de Ucayali</t>
  </si>
  <si>
    <t>UNU</t>
  </si>
  <si>
    <t>CALLERIA</t>
  </si>
  <si>
    <t xml:space="preserve"> CORONEL PORTILLO</t>
  </si>
  <si>
    <t>UCAYALI</t>
  </si>
  <si>
    <t>Universidad Nacional del CallaoIngeniería Eléctrica</t>
  </si>
  <si>
    <t>160000027-64-7</t>
  </si>
  <si>
    <t>Ingeniería Eléctrica</t>
  </si>
  <si>
    <t>Universidad Católica de Trujillo Benedicto XVIDoctorado en Psicología</t>
  </si>
  <si>
    <t>26000074A-162-</t>
  </si>
  <si>
    <t>26000074A</t>
  </si>
  <si>
    <t>Universidad Católica de Trujillo Benedicto XVI</t>
  </si>
  <si>
    <t>UCT</t>
  </si>
  <si>
    <t>MOCHE</t>
  </si>
  <si>
    <t>Universidad Privada de TacnaDoctorado en Arquitectura y Dinámicas Urbanas</t>
  </si>
  <si>
    <t>260000043-7-7</t>
  </si>
  <si>
    <t>Doctorado en Arquitectura y Dinámicas Urbanas</t>
  </si>
  <si>
    <t>Universidad Nacional del Centro del PerúDoctorado en Ingeniería Química y Ambiental</t>
  </si>
  <si>
    <t>160000010-18-5</t>
  </si>
  <si>
    <t>Doctorado en Ingeniería Química y Ambiental</t>
  </si>
  <si>
    <t>Universidad Católica de Trujillo Benedicto XVIDoctorado en Ciencias de la Educación</t>
  </si>
  <si>
    <t>26000074A-165-</t>
  </si>
  <si>
    <t>Universidad Nacional del SantaDoctorado en Educación</t>
  </si>
  <si>
    <t>160000042-9-1</t>
  </si>
  <si>
    <t>Universidad Nacional del SantaDoctorado en Estadística Matemática</t>
  </si>
  <si>
    <t>160000042-11-5</t>
  </si>
  <si>
    <t>Doctorado en Estadística Matemática</t>
  </si>
  <si>
    <t>Universidad César Vallejo S.A.C.Doctorado en Educación</t>
  </si>
  <si>
    <t>260000052-71-1</t>
  </si>
  <si>
    <t>Universidad Nacional del SantaDoctorado en Ingeniería de Sistemas e Informática</t>
  </si>
  <si>
    <t>160000042-17-6</t>
  </si>
  <si>
    <t>Doctorado en Ingeniería de Sistemas e Informática</t>
  </si>
  <si>
    <t>Universidad Nacional de UcayaliDoctorado en Educación</t>
  </si>
  <si>
    <t>160000035-9-1</t>
  </si>
  <si>
    <t>Universidad Nacional del CallaoCiencias Contables</t>
  </si>
  <si>
    <t>160000027-60-4</t>
  </si>
  <si>
    <t>Ciencias Contables</t>
  </si>
  <si>
    <t>Universidad Nacional del SantaDoctorado en Medio Ambiente y Desarrollo Sustentable</t>
  </si>
  <si>
    <t>160000042-22-5</t>
  </si>
  <si>
    <t>Doctorado en Medio Ambiente y Desarrollo Sustentable</t>
  </si>
  <si>
    <t>Universidad César Vallejo S.A.C.Doctorado en Arquitectura</t>
  </si>
  <si>
    <t>260000052-68-7</t>
  </si>
  <si>
    <t>Doctorado en Arquitectura</t>
  </si>
  <si>
    <t>Universidad Andina del CuscoCiencias de la Educación</t>
  </si>
  <si>
    <t>260000039-7-1</t>
  </si>
  <si>
    <t>Universidad Nacional José Faustino Sánchez CarriónDoctorado en Ciencias Ambientales</t>
  </si>
  <si>
    <t>160000028-87-5</t>
  </si>
  <si>
    <t>Universidad Nacional del CallaoIngeniería Industrial</t>
  </si>
  <si>
    <t>160000027-95-7</t>
  </si>
  <si>
    <t>Universidad Nacional Jorge Basadre GrohmannDoctorado en Ciencias Contables y Financieras</t>
  </si>
  <si>
    <t>160000032-19-4</t>
  </si>
  <si>
    <t>Doctorado en Ciencias Contables y Financieras</t>
  </si>
  <si>
    <t>Universidad Peruana Los AndesDoctorado en Educación</t>
  </si>
  <si>
    <t>260000037-58-1</t>
  </si>
  <si>
    <t>Universidad César Vallejo S.A.C.Doctorado en Gestión Universitaria</t>
  </si>
  <si>
    <t>260000052-73-1</t>
  </si>
  <si>
    <t>Doctorado en Gestión Universitaria</t>
  </si>
  <si>
    <t>2022-1</t>
  </si>
  <si>
    <t>Universidad Marcelino ChampagnatDoctorado en Ciencias de la Educación</t>
  </si>
  <si>
    <t>260000049-4-1</t>
  </si>
  <si>
    <t>Universidad Marcelino Champagnat</t>
  </si>
  <si>
    <t>UMCH</t>
  </si>
  <si>
    <t>SANTIAGO DE SURCO</t>
  </si>
  <si>
    <t>Universidad Nacional del CallaoEnfermería</t>
  </si>
  <si>
    <t>160000027-63-9</t>
  </si>
  <si>
    <t>Universidad Peruana Los AndesDoctorado en Ciencias Contables</t>
  </si>
  <si>
    <t>260000037-55-4</t>
  </si>
  <si>
    <t>Doctorado en Ciencias Contables</t>
  </si>
  <si>
    <t>Universidad Privada Norbert Wiener S.A.Doctorado en Educación</t>
  </si>
  <si>
    <t>260000061-51-1</t>
  </si>
  <si>
    <t>Universidad Privada Norbert Wiener S.A.</t>
  </si>
  <si>
    <t>UWIENER</t>
  </si>
  <si>
    <t>Universidad Nacional José Faustino Sánchez CarriónDoctorado en Contabilidad</t>
  </si>
  <si>
    <t>160000028-89-4</t>
  </si>
  <si>
    <t>Doctorado en Contabilidad</t>
  </si>
  <si>
    <t>Universidad Nacional del SantaDoctorado en Biotecnología</t>
  </si>
  <si>
    <t>160000042-7-5</t>
  </si>
  <si>
    <t>Doctorado en Biotecnología</t>
  </si>
  <si>
    <t>Universidad Nacional Hermilio Valdizán de HuánucoMedicina Veterinaria</t>
  </si>
  <si>
    <t>160000023-99-8</t>
  </si>
  <si>
    <t>Universidad Nacional de CañeteDoctorado en Administración</t>
  </si>
  <si>
    <t>160000122-8-</t>
  </si>
  <si>
    <t>Universidad Nacional de Cañete</t>
  </si>
  <si>
    <t>UNDC</t>
  </si>
  <si>
    <t>SAN VICENTE DE CAÑETE</t>
  </si>
  <si>
    <t xml:space="preserve"> CAÑETE</t>
  </si>
  <si>
    <t>Universidad Peruana Los AndesDoctorado en Ciencias de la Educación</t>
  </si>
  <si>
    <t>260000037-137-</t>
  </si>
  <si>
    <t>Universidad Nacional José Faustino Sánchez CarriónDoctorado en Derecho y Ciencias Políticas</t>
  </si>
  <si>
    <t>160000028-90-4</t>
  </si>
  <si>
    <t>Doctorado en Derecho y Ciencias Políticas</t>
  </si>
  <si>
    <t>Universidad Nacional del Centro del PerúDoctorado en Gobierno y Políticas Públicas</t>
  </si>
  <si>
    <t>160000010-288-</t>
  </si>
  <si>
    <t>Universidad Nacional del SantaDoctorado en Ingeniería Agroindustrial con mención en Transformación Avanzada de Granos y Tubérculos Andinos</t>
  </si>
  <si>
    <t>160000042-158-</t>
  </si>
  <si>
    <t>Doctorado en Ingeniería Agroindustrial con mención en Transformación Avanzada de Granos y Tubérculos Andinos</t>
  </si>
  <si>
    <t>Universidad San PedroDoctorado en Derecho</t>
  </si>
  <si>
    <t>26000045A-78-4</t>
  </si>
  <si>
    <t>26000045A</t>
  </si>
  <si>
    <t>Universidad San Pedro</t>
  </si>
  <si>
    <t>USP</t>
  </si>
  <si>
    <t>Universidad Andina Néstor Cáceres VelásquezDoctorado en Ciencias e Ingeniería Civil Ambiental</t>
  </si>
  <si>
    <t>260000036-70-7</t>
  </si>
  <si>
    <t>Universidad Andina Néstor Cáceres Velásquez</t>
  </si>
  <si>
    <t>UANCV</t>
  </si>
  <si>
    <t>JULIACA</t>
  </si>
  <si>
    <t>SAN ROMÁN</t>
  </si>
  <si>
    <t>PUNO</t>
  </si>
  <si>
    <t>Doctorado en Ciencias e Ingeniería Civil Ambiental</t>
  </si>
  <si>
    <t>Universidad Inca Garcilaso de la Vega Asociación CivilDerecho</t>
  </si>
  <si>
    <t>260000024-102-4</t>
  </si>
  <si>
    <t>Universidad Inca Garcilaso de la Vega Asociación Civil</t>
  </si>
  <si>
    <t>UIGV</t>
  </si>
  <si>
    <t>Universidad Andina Néstor Cáceres VelásquezDoctorado en Derecho</t>
  </si>
  <si>
    <t>260000036-72-4</t>
  </si>
  <si>
    <t>Universidad Andina Néstor Cáceres VelásquezDoctorado en Contabilidad y Finanzas</t>
  </si>
  <si>
    <t>260000036-71-4</t>
  </si>
  <si>
    <t>Doctorado en Contabilidad y Finanzas</t>
  </si>
  <si>
    <t>Universidad Andina Néstor Cáceres VelásquezDoctorado en Salud Pública</t>
  </si>
  <si>
    <t>260000036-75-0</t>
  </si>
  <si>
    <t>Universidad Andina Néstor Cáceres VelásquezDoctorado en Administración</t>
  </si>
  <si>
    <t>260000036-68-4</t>
  </si>
  <si>
    <t>SAN RAMÓN</t>
  </si>
  <si>
    <t>Universidad Inca Garcilaso de la Vega Asociación CivilContabilidad</t>
  </si>
  <si>
    <t>260000024-101-4</t>
  </si>
  <si>
    <t>Universidad Inca Garcilaso de la Vega Asociación CivilPsicología</t>
  </si>
  <si>
    <t>260000024-108-3</t>
  </si>
  <si>
    <t>Universidad Privada Antonio Guillermo Urrelo S.A.C.Doctorado en Administración</t>
  </si>
  <si>
    <t>260000070-24-4</t>
  </si>
  <si>
    <t>Universidad Privada Antonio Guillermo Urrelo S.A.C.</t>
  </si>
  <si>
    <t>UPAGU</t>
  </si>
  <si>
    <t>CAJAMARCA</t>
  </si>
  <si>
    <t>Universidad Inca Garcilaso de la Vega Asociación CivilSalud Pública</t>
  </si>
  <si>
    <t>260000024-109-0</t>
  </si>
  <si>
    <t>Universidad Andina Néstor Cáceres VelásquezDoctorado en Educación</t>
  </si>
  <si>
    <t>260000036-73-1</t>
  </si>
  <si>
    <t>Instituto Científico y Tecnológico del EjércitoGestión y Desarrollo</t>
  </si>
  <si>
    <t>160000813-5-0</t>
  </si>
  <si>
    <t>Instituto Científico y Tecnológico del Ejército</t>
  </si>
  <si>
    <t>CAEN</t>
  </si>
  <si>
    <t>Instituto</t>
  </si>
  <si>
    <t>Gestión y Desarrollo</t>
  </si>
  <si>
    <t>Centro de Altos Estudios Nacionales - CAENDoctorado en Políticas Públicas y Gestión del Estado</t>
  </si>
  <si>
    <t>160000801-12-</t>
  </si>
  <si>
    <t>Centro de Altos Estudios Nacionales - CAEN</t>
  </si>
  <si>
    <t>Escuela Superior</t>
  </si>
  <si>
    <t>CHORRILLOS</t>
  </si>
  <si>
    <t>Doctorado en Políticas Públicas y Gestión del Estado</t>
  </si>
  <si>
    <t>Universidad José Carlos MariáteguiDoctorado en Educación</t>
  </si>
  <si>
    <t>26000048A-99-1</t>
  </si>
  <si>
    <t>26000048A</t>
  </si>
  <si>
    <t>Universidad José Carlos Mariátegui</t>
  </si>
  <si>
    <t>UJCM</t>
  </si>
  <si>
    <t>MOQUEGUA</t>
  </si>
  <si>
    <t>MARISCAL NIETO</t>
  </si>
  <si>
    <t>Universidad Alas Peruanas S.A.Doctorado en Salud Pública</t>
  </si>
  <si>
    <t>260000059-83-0</t>
  </si>
  <si>
    <t>Universidad Alas Peruanas S.A.</t>
  </si>
  <si>
    <t>UAP</t>
  </si>
  <si>
    <t>Universidad Privada Antonio Guillermo Urrelo S.A.C.Doctorado en Psicología</t>
  </si>
  <si>
    <t>260000070-25-3</t>
  </si>
  <si>
    <t>Universidad Alas Peruanas S.A.Doctorado en Ingeniería de Sistemas</t>
  </si>
  <si>
    <t>260000059-79-6</t>
  </si>
  <si>
    <t>Centro de Altos Estudios Nacionales - CAENDoctorado en Desarrollo y Seguridad Estratégica</t>
  </si>
  <si>
    <t>160000801-7-0</t>
  </si>
  <si>
    <t>Doctorado en Desarrollo y Seguridad Estratégica</t>
  </si>
  <si>
    <t>Universidad Alas Peruanas S.A.Doctorado en Derecho</t>
  </si>
  <si>
    <t>260000059-76-4</t>
  </si>
  <si>
    <t>Universidad San PedroDoctorado en Educación con mención en Gestión y Ciencias de la Educación</t>
  </si>
  <si>
    <t>26000045A-204-1</t>
  </si>
  <si>
    <t>Doctorado en Educación con mención en Gestión y Ciencias de la Educación</t>
  </si>
  <si>
    <t>Universidad Inca Garcilaso de la Vega Asociación CivilMedio Ambiente y Desarrollo Sostenible</t>
  </si>
  <si>
    <t>260000024-107-5</t>
  </si>
  <si>
    <t>Universidad Inca Garcilaso de la Vega Asociación CivilEducación</t>
  </si>
  <si>
    <t>260000024-104-1</t>
  </si>
  <si>
    <t>Universidad José Carlos MariáteguiDoctorado en Derecho</t>
  </si>
  <si>
    <t>26000048A-98-4</t>
  </si>
  <si>
    <t>2022-2</t>
  </si>
  <si>
    <t>Universidad Alas Peruanas S.A.Doctorado en Administración</t>
  </si>
  <si>
    <t>260000059-73-4</t>
  </si>
  <si>
    <t>Universidad Peruana de las Américas S.A.C.Doctorado en Administración</t>
  </si>
  <si>
    <t>260000078-16-4</t>
  </si>
  <si>
    <t>Universidad Peruana de las Américas S.A.C.</t>
  </si>
  <si>
    <t>ULASAMERICAS</t>
  </si>
  <si>
    <t>Universidad Inca Garcilaso de la Vega Asociación CivilAdministración</t>
  </si>
  <si>
    <t>260000024-98-4</t>
  </si>
  <si>
    <t>Universidad Nacional del AltiplanoDoctorado en Administración</t>
  </si>
  <si>
    <t>160000012-16-4</t>
  </si>
  <si>
    <t>Universidad Nacional del Altiplano</t>
  </si>
  <si>
    <t>UNA</t>
  </si>
  <si>
    <t xml:space="preserve"> PUNO</t>
  </si>
  <si>
    <t>Universidad Nacional Toribio Rodríguez de Mendoza de AmazonasGenética y Mejoramiento Genético de Plantas</t>
  </si>
  <si>
    <t>160000076-59-9</t>
  </si>
  <si>
    <t>Universidad Nacional Toribio Rodríguez de Mendoza de Amazonas</t>
  </si>
  <si>
    <t>UNTRMA</t>
  </si>
  <si>
    <t>CHACHAPOYAS</t>
  </si>
  <si>
    <t xml:space="preserve"> CHACHAPOYAS</t>
  </si>
  <si>
    <t>AMAZONAS</t>
  </si>
  <si>
    <t>Genética y Mejoramiento Genético de Plantas</t>
  </si>
  <si>
    <t>Universidad Nacional del AltiplanoDoctorado en Derecho</t>
  </si>
  <si>
    <t>160000012-27-4</t>
  </si>
  <si>
    <t>Universidad Nacional del AltiplanoDoctorado en Ciencias de la Salud</t>
  </si>
  <si>
    <t>160000012-21-9</t>
  </si>
  <si>
    <t>Universidad Nacional del AltiplanoDoctorado en Economía y Políticas Públicas</t>
  </si>
  <si>
    <t>160000012-30-3</t>
  </si>
  <si>
    <t>Doctorado en Economía y Políticas Públicas</t>
  </si>
  <si>
    <t>Universidad Nacional del AltiplanoDoctorado en Contabilidad y Finanzas</t>
  </si>
  <si>
    <t>160000012-26-4</t>
  </si>
  <si>
    <t>Universidad Nacional del AltiplanoDoctorado en Ciencias de la Computación</t>
  </si>
  <si>
    <t>160000012-19-6</t>
  </si>
  <si>
    <t>Doctorado en Ciencias de la Computación</t>
  </si>
  <si>
    <t>Universidad Nacional del AltiplanoDoctorado en Ciencias Sociales, Gestión Pública y Desarrollo Territorial</t>
  </si>
  <si>
    <t>160000012-24-3</t>
  </si>
  <si>
    <t>Doctorado en Ciencias Sociales, Gestión Pública y Desarrollo Territorial</t>
  </si>
  <si>
    <t>Universidad Nacional Toribio Rodríguez de Mendoza de AmazonasCiencias para el Desarrollo Sustentable</t>
  </si>
  <si>
    <t>160000076-8-8</t>
  </si>
  <si>
    <t>Ciencias para el Desarrollo Sustentable</t>
  </si>
  <si>
    <t>2018;2023</t>
  </si>
  <si>
    <t>Universidad Nacional del AltiplanoDoctorado en Educación</t>
  </si>
  <si>
    <t>160000012-31-1</t>
  </si>
  <si>
    <t>Universidad Nacional Federico VillarrealDoctorado en Ingeniería Civil</t>
  </si>
  <si>
    <t>160000021-150-7</t>
  </si>
  <si>
    <t>Universidad Nacional Federico Villarreal</t>
  </si>
  <si>
    <t>UNFV</t>
  </si>
  <si>
    <t>Universidad Nacional Federico VillarrealDoctorado en Derecho</t>
  </si>
  <si>
    <t>160000021-54-4</t>
  </si>
  <si>
    <t>Universidad Nacional del AltiplanoDoctorado en Ciencias de la Ingeniería Mecánica Eléctrica</t>
  </si>
  <si>
    <t>160000012-20-7</t>
  </si>
  <si>
    <t>Doctorado en Ciencias de la Ingeniería Mecánica Eléctrica</t>
  </si>
  <si>
    <t>Universidad Nacional Federico VillarrealDoctorado en Administración</t>
  </si>
  <si>
    <t>160000021-5-4</t>
  </si>
  <si>
    <t>Universidad Nacional Federico VillarrealDoctorado en Medio Ambiente y Desarrollo Sostenible</t>
  </si>
  <si>
    <t>160000021-212-5</t>
  </si>
  <si>
    <t>Doctorado en Medio Ambiente y Desarrollo Sostenible</t>
  </si>
  <si>
    <t>Universidad Nacional Federico VillarrealDoctorado en Odontología</t>
  </si>
  <si>
    <t>160000021-221-9</t>
  </si>
  <si>
    <t>Doctorado en Odontología</t>
  </si>
  <si>
    <t>Universidad Nacional Federico VillarrealDoctorado en Ingeniería de Sistemas</t>
  </si>
  <si>
    <t>160000021-162-6</t>
  </si>
  <si>
    <t>Universidad Continental S.A.C.Doctorado en Administración</t>
  </si>
  <si>
    <t>26000067A-93-4</t>
  </si>
  <si>
    <t>26000067A</t>
  </si>
  <si>
    <t>Universidad Continental S.A.C.</t>
  </si>
  <si>
    <t>UCONTINENTAL</t>
  </si>
  <si>
    <t>Universidad Nacional Federico VillarrealDoctorado en Educación</t>
  </si>
  <si>
    <t>160000021-79-1</t>
  </si>
  <si>
    <t>Universidad Nacional del AltiplanoDoctorado en Estadística Aplicada</t>
  </si>
  <si>
    <t>160000012-32-5</t>
  </si>
  <si>
    <t>Doctorado en Estadística Aplicada</t>
  </si>
  <si>
    <t>Universidad Nacional del AltiplanoDoctorado en Ciencia, Tecnología y Medio Ambiente</t>
  </si>
  <si>
    <t>160000012-18-5</t>
  </si>
  <si>
    <t>Doctorado en Ciencia, Tecnología y Medio Ambiente</t>
  </si>
  <si>
    <t>Universidad San Ignacio de Loyola S.R.L.Doctorado en Derecho</t>
  </si>
  <si>
    <t>260000057-20-4</t>
  </si>
  <si>
    <t>Universidad San Ignacio de Loyola S.R.L.</t>
  </si>
  <si>
    <t>USIL</t>
  </si>
  <si>
    <t>Universidad Continental S.A.C.Doctorado en Salud Pública y Salud Global</t>
  </si>
  <si>
    <t>26000067A-94-0</t>
  </si>
  <si>
    <t>Doctorado en Salud Pública y Salud Global</t>
  </si>
  <si>
    <t>Universidad Nacional Federico VillarrealDoctorado en Salud Pública</t>
  </si>
  <si>
    <t>160000021-249-0</t>
  </si>
  <si>
    <t>Universidad Continental S.A.C.Doctorado en Gobierno y Administración Pública</t>
  </si>
  <si>
    <t>26000067A-95-4</t>
  </si>
  <si>
    <t>Doctorado en Gobierno y Administración Pública</t>
  </si>
  <si>
    <t>Universidad Continental S.A.C.Doctorado en Derecho</t>
  </si>
  <si>
    <t>26000067A-98-</t>
  </si>
  <si>
    <t>Universidad Nacional del AltiplanoDoctorado en Ciencia Animal</t>
  </si>
  <si>
    <t>160000012-17-8</t>
  </si>
  <si>
    <t>Doctorado en Ciencia Animal</t>
  </si>
  <si>
    <t>Universidad San Ignacio de Loyola S.R.L.Doctorado en Administración</t>
  </si>
  <si>
    <t>260000057-19-4</t>
  </si>
  <si>
    <t>Universidad Ricardo PalmaDoctorado en Ciencia Política y Relaciones Internacionales</t>
  </si>
  <si>
    <t>260000030-8-3</t>
  </si>
  <si>
    <t>Universidad Ricardo Palma</t>
  </si>
  <si>
    <t>URP</t>
  </si>
  <si>
    <t>Doctorado en Ciencia Política y Relaciones Internacionales</t>
  </si>
  <si>
    <t>Universidad Nacional del AltiplanoDoctorado en Estadística e Informática</t>
  </si>
  <si>
    <t>160000012-33-5</t>
  </si>
  <si>
    <t>Doctorado en Estadística e Informática</t>
  </si>
  <si>
    <t>Universidad Nacional Federico VillarrealDoctorado en Contabilidad</t>
  </si>
  <si>
    <t>160000021-49-4</t>
  </si>
  <si>
    <t>Universidad de LimaDoctorado en Comunicación</t>
  </si>
  <si>
    <t>260000018-44-</t>
  </si>
  <si>
    <t>Universidad de Lima</t>
  </si>
  <si>
    <t>UL</t>
  </si>
  <si>
    <t>Doctorado en Comunicación</t>
  </si>
  <si>
    <t>Universidad Ricardo PalmaDoctorado en Administración de Negocios Globales</t>
  </si>
  <si>
    <t>260000030-7-4</t>
  </si>
  <si>
    <t>Doctorado en Administración de Negocios Globales</t>
  </si>
  <si>
    <t>Universidad Nacional Federico VillarrealDoctorado en Psicología</t>
  </si>
  <si>
    <t>160000021-229-3</t>
  </si>
  <si>
    <t>Universidad San Ignacio de Loyola S.R.L.Doctorado en Educación</t>
  </si>
  <si>
    <t>260000057-21-1</t>
  </si>
  <si>
    <t>Universidad de LimaDoctorado en Administración</t>
  </si>
  <si>
    <t>260000018-40-4</t>
  </si>
  <si>
    <t>Universidad San Ignacio de Loyola S.R.L.Doctorado en Nutrición y Alimentos</t>
  </si>
  <si>
    <t>260000057-22-9</t>
  </si>
  <si>
    <t>Doctorado en Nutrición y Alimentos</t>
  </si>
  <si>
    <t>Universidad ESANDoctorado en Ciencias de la Administración</t>
  </si>
  <si>
    <t>260000079-5-4</t>
  </si>
  <si>
    <t>Universidad ESAN</t>
  </si>
  <si>
    <t>UE</t>
  </si>
  <si>
    <t>Doctorado en Ciencias de la Administración</t>
  </si>
  <si>
    <t>Universidad Nacional Federico VillarrealDoctorado en Ingeniería Ambiental</t>
  </si>
  <si>
    <t>160000021-148-5</t>
  </si>
  <si>
    <t>Doctorado en Ingeniería Ambiental</t>
  </si>
  <si>
    <t>160000033-9-4</t>
  </si>
  <si>
    <t>Universidad Nacional Santiago Antúnez de Mayolo</t>
  </si>
  <si>
    <t>UNASAM</t>
  </si>
  <si>
    <t>INDEPENDENCIA</t>
  </si>
  <si>
    <t xml:space="preserve"> HUARAZ</t>
  </si>
  <si>
    <t>26000067A-93-</t>
  </si>
  <si>
    <t>Universidad Nacional de TrujilloDoctorado en Administración</t>
  </si>
  <si>
    <t>160000004-12-4</t>
  </si>
  <si>
    <t>Universidad Nacional de Trujillo</t>
  </si>
  <si>
    <t>UNT</t>
  </si>
  <si>
    <t>2018 - 2026</t>
  </si>
  <si>
    <t>TRUJILLO</t>
  </si>
  <si>
    <t>Universidad Nacional de San Agustín de ArequipaDoctorado en Administración (DBA)</t>
  </si>
  <si>
    <t>160000005-305-4</t>
  </si>
  <si>
    <t>Universidad Nacional de San Agustín de Arequipa</t>
  </si>
  <si>
    <t>UNSA</t>
  </si>
  <si>
    <t>AREQUIPA</t>
  </si>
  <si>
    <t xml:space="preserve"> AREQUIPA</t>
  </si>
  <si>
    <t>Doctorado en Administración (DBA)</t>
  </si>
  <si>
    <t>Universidad Nacional de San Agustín de ArequipaDoctorado en Arquitectura y Urbanismo</t>
  </si>
  <si>
    <t>160000005-46-7</t>
  </si>
  <si>
    <t>Doctorado en Arquitectura y Urbanismo</t>
  </si>
  <si>
    <t>Universidad Nacional de TrujilloDoctorado en Ciencias Agropecuarias</t>
  </si>
  <si>
    <t>160000004-13-8</t>
  </si>
  <si>
    <t>Doctorado en Ciencias Agropecuarias</t>
  </si>
  <si>
    <t>Universidad Nacional de TrujilloDoctorado en Ciencias Ambientales</t>
  </si>
  <si>
    <t>160000004-14-5</t>
  </si>
  <si>
    <t>Universidad Nacional de TrujilloDoctorado en Ciencias Biológicas</t>
  </si>
  <si>
    <t>160000004-15-5</t>
  </si>
  <si>
    <t>Doctorado en Ciencias Biológicas</t>
  </si>
  <si>
    <t>Universidad Nacional de TrujilloDoctorado en Ciencias de Enfermería</t>
  </si>
  <si>
    <t>160000004-17-9</t>
  </si>
  <si>
    <t>Doctorado en Ciencias de Enfermería</t>
  </si>
  <si>
    <t>160000005-51-6</t>
  </si>
  <si>
    <t>Universidad Nacional de TrujilloDoctorado en Ciencias de la Educación</t>
  </si>
  <si>
    <t>160000004-18-1</t>
  </si>
  <si>
    <t>160000033-11-9</t>
  </si>
  <si>
    <t>Universidad Nacional de TrujilloDoctorado en Ciencias e Ingeniería</t>
  </si>
  <si>
    <t>160000004-20-5</t>
  </si>
  <si>
    <t>Doctorado en Ciencias e Ingeniería</t>
  </si>
  <si>
    <t>Universidad Nacional de San Agustín de ArequipaDoctorado en Ciencias Gobernabilidad y Gestión Pública Estratégica</t>
  </si>
  <si>
    <t>160000005-53-4</t>
  </si>
  <si>
    <t>Doctorado en Ciencias Gobernabilidad y Gestión Pública Estratégica</t>
  </si>
  <si>
    <t>160000005-54-3</t>
  </si>
  <si>
    <t>Doctorado en Ciencias Sociales</t>
  </si>
  <si>
    <t>Universidad Nacional de San Agustín de ArequipaDoctorado en Ciencias y Tecnologías Medioambientales</t>
  </si>
  <si>
    <t>160000005-56-5</t>
  </si>
  <si>
    <t>Doctorado en Ciencias y Tecnologías Medioambientales</t>
  </si>
  <si>
    <t>Universidad Nacional de San Agustín de ArequipaDoctorado en Ciencias: Educación</t>
  </si>
  <si>
    <t>160000005-60-1</t>
  </si>
  <si>
    <t>Doctorado en Ciencias: Educación</t>
  </si>
  <si>
    <t>Universidad Nacional de San Agustín de ArequipaDoctorado en Ciencias: Química</t>
  </si>
  <si>
    <t>160000005-68-5</t>
  </si>
  <si>
    <t>Doctorado en Ciencias: Química</t>
  </si>
  <si>
    <t>Universidad Nacional de San Agustín de ArequipaDoctorado en Ciencias: Salud Pública</t>
  </si>
  <si>
    <t>160000005-70-0</t>
  </si>
  <si>
    <t>Doctorado en Ciencias: Salud Pública</t>
  </si>
  <si>
    <t>Universidad Nacional de TrujilloDoctorado en Contabilidad y Finanzas</t>
  </si>
  <si>
    <t>160000004-23-4</t>
  </si>
  <si>
    <t>Universidad Nacional de TrujilloDoctorado en Derecho y Ciencias Políticas</t>
  </si>
  <si>
    <t>160000004-24-4</t>
  </si>
  <si>
    <t>Universidad Nacional Santiago Antúnez de MayoloDoctorado en Derecho y Ciencias Políticas</t>
  </si>
  <si>
    <t>160000033-13-4</t>
  </si>
  <si>
    <t>160000033-14-3</t>
  </si>
  <si>
    <t>Doctorado en Economía</t>
  </si>
  <si>
    <t>Universidad Nacional Federico VillarrealDoctorado en Economía</t>
  </si>
  <si>
    <t>160000021-74-3</t>
  </si>
  <si>
    <t>Universidad Nacional Santiago Antúnez de MayoloDoctorado en Educación</t>
  </si>
  <si>
    <t>160000033-15-1</t>
  </si>
  <si>
    <t>Universidad Nacional de TrujilloDoctorado en Estomatología</t>
  </si>
  <si>
    <t>160000004-27-9</t>
  </si>
  <si>
    <t>Universidad Nacional de TrujilloDoctorado en Farmacia y Bioquímica</t>
  </si>
  <si>
    <t>160000004-28-9</t>
  </si>
  <si>
    <t>Doctorado en Farmacia y Bioquímica</t>
  </si>
  <si>
    <t>Universidad Nacional de TrujilloDoctorado en Física</t>
  </si>
  <si>
    <t>160000004-29-5</t>
  </si>
  <si>
    <t>Universidad Nacional de TrujilloDoctorado en Gestión Pública</t>
  </si>
  <si>
    <t>160000004-30-4</t>
  </si>
  <si>
    <t>Doctorado en Gestión Pública</t>
  </si>
  <si>
    <t>26000067A-95-</t>
  </si>
  <si>
    <t>Universidad Nacional Federico VillarrealDoctorado en Humanidades</t>
  </si>
  <si>
    <t>160000021-141-3</t>
  </si>
  <si>
    <t>Doctorado en Humanidades</t>
  </si>
  <si>
    <t>Universidad Nacional Santiago Antúnez de MayoloDoctorado en Ingeniería Ambiental</t>
  </si>
  <si>
    <t>160000033-17-5</t>
  </si>
  <si>
    <t>160000005-77-7</t>
  </si>
  <si>
    <t>Doctorado en Ingeniería de Procesos</t>
  </si>
  <si>
    <t>Universidad Nacional de TrujilloDoctorado en Ingeniería Química Ambiental</t>
  </si>
  <si>
    <t>160000004-32-5</t>
  </si>
  <si>
    <t>Doctorado en Ingeniería Química Ambiental</t>
  </si>
  <si>
    <t>Universidad Nacional de TrujilloDoctorado en Medicina</t>
  </si>
  <si>
    <t>160000004-34-9</t>
  </si>
  <si>
    <t>Universidad Nacional de TrujilloDoctorado en Microbiología</t>
  </si>
  <si>
    <t>160000004-35-5</t>
  </si>
  <si>
    <t>Doctorado en Microbiología</t>
  </si>
  <si>
    <t>Universidad Nacional de TrujilloDoctorado en Planificación y Gestión</t>
  </si>
  <si>
    <t>160000004-36-4</t>
  </si>
  <si>
    <t>Doctorado en Planificación y Gestión</t>
  </si>
  <si>
    <t>26000067A-178-</t>
  </si>
  <si>
    <t>Universidad Nacional de San Agustín de ArequipaDoctorado en Psicología</t>
  </si>
  <si>
    <t>160000005-79-3</t>
  </si>
  <si>
    <t>Universidad Nacional de TrujilloDoctorado en Salud Pública</t>
  </si>
  <si>
    <t>160000004-37-0</t>
  </si>
  <si>
    <t>26000067A-94-</t>
  </si>
  <si>
    <t>Universidad Peruana UniónDoctorado en Educación con Mención en Gestión Educativa</t>
  </si>
  <si>
    <t>260000038-235-1</t>
  </si>
  <si>
    <t>Universidad Peruana Unión</t>
  </si>
  <si>
    <t>UPeU</t>
  </si>
  <si>
    <t>LURIGANCHO</t>
  </si>
  <si>
    <t>Universidad Privada Antenor OrregoDoctorado en Investigación Clínica y Traslacional</t>
  </si>
  <si>
    <t>260000046-28-9</t>
  </si>
  <si>
    <t>Universidad Privada Antenor Orrego</t>
  </si>
  <si>
    <t>UPAO</t>
  </si>
  <si>
    <t>Doctorado en Investigación Clínica y Traslacional</t>
  </si>
  <si>
    <t>2023-2</t>
  </si>
  <si>
    <t>Universidad Peruana UniónDoctorado en Educación con mención en Currículo y Docencia</t>
  </si>
  <si>
    <t>260000038-12-1</t>
  </si>
  <si>
    <t>Doctorado en Educación con mención en Currículo y Docencia</t>
  </si>
  <si>
    <t>Universidad Peruana UniónDoctorado en Enfermería</t>
  </si>
  <si>
    <t>260000038-13-9</t>
  </si>
  <si>
    <t>Universidad Nacional de HuancavelicaDoctorado en Ciencias Agropecuarias</t>
  </si>
  <si>
    <t>160000051-53-8</t>
  </si>
  <si>
    <t>Universidad Nacional de Huancavelica</t>
  </si>
  <si>
    <t>UNH</t>
  </si>
  <si>
    <t>HUANCAVELICA</t>
  </si>
  <si>
    <t xml:space="preserve"> HUANCAVELICA</t>
  </si>
  <si>
    <t>Universidad Privada Antenor OrregoDoctorado en Derecho</t>
  </si>
  <si>
    <t>260000046-24-4</t>
  </si>
  <si>
    <t>Universidad Nacional de HuancavelicaDoctorado en Derecho y Ciencias Políticas</t>
  </si>
  <si>
    <t>160000051-57-4</t>
  </si>
  <si>
    <t>Universidad Nacional de HuancavelicaDoctorado en Ciencias Ambientales</t>
  </si>
  <si>
    <t>160000051-54-5</t>
  </si>
  <si>
    <t>Universidad Nacional de HuancavelicaDoctorado en Ciencias de la Salud</t>
  </si>
  <si>
    <t>160000051-56-9</t>
  </si>
  <si>
    <t>Universidad Peruana UniónDoctorado en Administración de Negocios</t>
  </si>
  <si>
    <t>260000038-11-4</t>
  </si>
  <si>
    <t>Doctorado en Administración de Negocios</t>
  </si>
  <si>
    <t>Universidad Nacional de HuancavelicaDoctorado en Ciencias de la Educación</t>
  </si>
  <si>
    <t>160000051-55-1</t>
  </si>
  <si>
    <t>Universidad Privada Antenor OrregoDoctorado en Administración</t>
  </si>
  <si>
    <t>260000046-22-4</t>
  </si>
  <si>
    <t>Universidad Privada Antenor OrregoDoctorado en Educación</t>
  </si>
  <si>
    <t>260000046-26-1</t>
  </si>
  <si>
    <t>Universidad Peruana UniónDoctorado en Salud Pública</t>
  </si>
  <si>
    <t>260000038-15-0</t>
  </si>
  <si>
    <t>Universidad Peruana UniónDoctorado en Teología</t>
  </si>
  <si>
    <t>260000038-16-2</t>
  </si>
  <si>
    <t>Universidad Nacional de Educación Enrique Guzmán y ValleDoctorado en Ciencias de la Educación</t>
  </si>
  <si>
    <t>160000025-96-1</t>
  </si>
  <si>
    <t>Universidad Nacional de Educación Enrique Guzmán y Valle</t>
  </si>
  <si>
    <t>UNE</t>
  </si>
  <si>
    <t>Universidad Nacional de HuancavelicaDoctorado en Obstetricia</t>
  </si>
  <si>
    <t>160000051-58-9</t>
  </si>
  <si>
    <t>Doctorado en Obstetricia</t>
  </si>
  <si>
    <t>Universidad Nacional de Educación Enrique Guzmán y ValleDoctorado en Educación Ambiental</t>
  </si>
  <si>
    <t>160000025-97-1</t>
  </si>
  <si>
    <t>Doctorado en Educación Ambiental</t>
  </si>
  <si>
    <t>Universidad Nacional de Educación Enrique Guzmán y ValleDoctorado en Psicología Educacional y Tutorial</t>
  </si>
  <si>
    <t>160000025-98-3</t>
  </si>
  <si>
    <t>Doctorado en Psicología Educacional y Tutorial</t>
  </si>
  <si>
    <t>Universidad Nacional de HuancavelicaDoctorado en Administración</t>
  </si>
  <si>
    <t>160000051-144-4</t>
  </si>
  <si>
    <t>260000046-231-</t>
  </si>
  <si>
    <t>DOCTORADO EN ARQUITECTURA</t>
  </si>
  <si>
    <t>Universidad Nacional de PiuraDoctorado en Ciencias Administrativas con Mención en Dirección de Empresas</t>
  </si>
  <si>
    <t>160000013-138-4</t>
  </si>
  <si>
    <t>Universidad Nacional de Piura</t>
  </si>
  <si>
    <t>UNP</t>
  </si>
  <si>
    <t>CASTILLA</t>
  </si>
  <si>
    <t>Doctorado en Ciencias Administrativas con Mención en Dirección de Empresas</t>
  </si>
  <si>
    <t>Universidad Nacional de PiuraDoctorado en Ciencias Agrarias</t>
  </si>
  <si>
    <t>160000013-80-8</t>
  </si>
  <si>
    <t>Doctorado en Ciencias Agrarias</t>
  </si>
  <si>
    <t>Universidad Nacional de PiuraDoctorado en Ciencias Ambientales</t>
  </si>
  <si>
    <t>160000013-81-5</t>
  </si>
  <si>
    <t>Universidad Nacional de PiuraDoctorado en Ciencias de la Educación</t>
  </si>
  <si>
    <t>160000013-82-1</t>
  </si>
  <si>
    <t>Universidad Católica de Santa MaríaDoctorado en Ciencias de la Salud</t>
  </si>
  <si>
    <t>260000015-37-9</t>
  </si>
  <si>
    <t>Universidad Católica de Santa María</t>
  </si>
  <si>
    <t>UCSM</t>
  </si>
  <si>
    <t>Universidad Nacional de PiuraDoctorado en Ciencias de la Salud</t>
  </si>
  <si>
    <t>160000013-83-9</t>
  </si>
  <si>
    <t>260000046-228-</t>
  </si>
  <si>
    <t>Universidad Nacional de PiuraDoctorado en Ciencias Económicas y Financieras</t>
  </si>
  <si>
    <t>160000013-84-3</t>
  </si>
  <si>
    <t>Doctorado en Ciencias Económicas y Financieras</t>
  </si>
  <si>
    <t>Universidad Nacional de PiuraDoctorado en Ciencias Matemáticas</t>
  </si>
  <si>
    <t>160000013-85-5</t>
  </si>
  <si>
    <t>Doctorado en Ciencias Matemáticas</t>
  </si>
  <si>
    <t>Universidad Nacional de HuancavelicaDoctorado en Contabilidad</t>
  </si>
  <si>
    <t>160000051-145-</t>
  </si>
  <si>
    <t>Universidad Nacional de PiuraDoctorado en Contabilidad y Finanzas</t>
  </si>
  <si>
    <t>160000013-86-4</t>
  </si>
  <si>
    <t>Universidad Católica de Santa MaríaDoctorado en Derecho</t>
  </si>
  <si>
    <t>260000015-39-4</t>
  </si>
  <si>
    <t>Universidad Nacional de PiuraDoctorado en Derecho y Ciencias Políticas</t>
  </si>
  <si>
    <t>160000013-87-4</t>
  </si>
  <si>
    <t>Universidad Nacional de HuancavelicaDoctorado en Economía</t>
  </si>
  <si>
    <t>160000051-147-</t>
  </si>
  <si>
    <t>Universidad Católica de Santa MaríaDoctorado en Economía y Negocios Internacionales</t>
  </si>
  <si>
    <t>260000015-40-3</t>
  </si>
  <si>
    <t>Doctorado en Economía y Negocios Internacionales</t>
  </si>
  <si>
    <t>260000046-27-9</t>
  </si>
  <si>
    <t>Universidad Nacional de PiuraDoctorado en Ingeniería de Sistemas</t>
  </si>
  <si>
    <t>160000013-88-6</t>
  </si>
  <si>
    <t>Universidad Nacional de PiuraDoctorado en Ingeniería Industrial</t>
  </si>
  <si>
    <t>160000013-89-7</t>
  </si>
  <si>
    <t>Universidad Católica de Santa MaríaDoctorado en Odontología</t>
  </si>
  <si>
    <t>260000015-46-9</t>
  </si>
  <si>
    <t>Universidad Nacional de PiuraDoctorado en Tecnologías de la Información y Comunicaciones</t>
  </si>
  <si>
    <t>160000013-90-6</t>
  </si>
  <si>
    <t>Doctorado en Tecnologías de la Información y Comunicaciones</t>
  </si>
  <si>
    <t>260000046-235-</t>
  </si>
  <si>
    <t>Salud Pública e Investigación</t>
  </si>
  <si>
    <t>Universidad Católica Los Ángeles de ChimboteDoctorado en Ciencias de la Educación</t>
  </si>
  <si>
    <t>26000053A-43-1</t>
  </si>
  <si>
    <t>26000053A</t>
  </si>
  <si>
    <t>Universidad Católica Los Ángeles de Chimbote</t>
  </si>
  <si>
    <t>ULADECH</t>
  </si>
  <si>
    <t>PERMANENTE</t>
  </si>
  <si>
    <t>Universidad Católica Los Ángeles de ChimboteDoctorado en Salud Pública</t>
  </si>
  <si>
    <t>26000053A-45-0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</si>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</sst>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EAAD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3" fillId="2" borderId="2" xfId="0" applyFont="1" applyFill="1" applyBorder="1"/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" fontId="1" fillId="0" borderId="0" xfId="0" applyNumberFormat="1" applyFont="1"/>
    <xf numFmtId="1" fontId="1" fillId="7" borderId="1" xfId="0" applyNumberFormat="1" applyFont="1" applyFill="1" applyBorder="1" applyAlignment="1">
      <alignment horizontal="left"/>
    </xf>
    <xf numFmtId="164" fontId="1" fillId="0" borderId="0" xfId="0" applyNumberFormat="1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NCYTEC" refreshedDate="46002.563214351852" refreshedVersion="8" recordCount="359" xr:uid="{00000000-000A-0000-FFFF-FFFF00000000}">
  <cacheSource type="worksheet">
    <worksheetSource ref="A1:AY360" sheet="BBDD"/>
  </cacheSource>
  <cacheFields count="51">
    <cacheField name="concat" numFmtId="0">
      <sharedItems containsBlank="1"/>
    </cacheField>
    <cacheField name="CÓDIGO (INEI-SIU-G1)" numFmtId="0">
      <sharedItems/>
    </cacheField>
    <cacheField name="CODIGO_INEI" numFmtId="0">
      <sharedItems containsMixedTypes="1" containsNumber="1" containsInteger="1" minValue="160000001" maxValue="260000079"/>
    </cacheField>
    <cacheField name="NOMBRE_ENTIDAD" numFmtId="0">
      <sharedItems/>
    </cacheField>
    <cacheField name="SIGLA" numFmtId="0">
      <sharedItems/>
    </cacheField>
    <cacheField name="TIPO_ENTIDAD" numFmtId="0">
      <sharedItems/>
    </cacheField>
    <cacheField name="TIPO_GESTION" numFmtId="0">
      <sharedItems/>
    </cacheField>
    <cacheField name="TIPO_CONSTITUCION" numFmtId="0">
      <sharedItems/>
    </cacheField>
    <cacheField name="LICENCIA" numFmtId="0">
      <sharedItems/>
    </cacheField>
    <cacheField name="Vigencia del licenciamiento" numFmtId="0">
      <sharedItems containsBlank="1"/>
    </cacheField>
    <cacheField name="Vigencia" numFmtId="0">
      <sharedItems containsString="0" containsBlank="1" containsNumber="1" containsInteger="1" minValue="0" maxValue="10"/>
    </cacheField>
    <cacheField name="Distrito" numFmtId="0">
      <sharedItems/>
    </cacheField>
    <cacheField name="Provincia" numFmtId="0">
      <sharedItems/>
    </cacheField>
    <cacheField name="Departamento" numFmtId="0">
      <sharedItems/>
    </cacheField>
    <cacheField name="Gran dominio" numFmtId="0">
      <sharedItems/>
    </cacheField>
    <cacheField name="DES_INV_IIISUNEDU" numFmtId="0">
      <sharedItems containsBlank="1" count="6">
        <s v="ALTO"/>
        <s v="BAJO"/>
        <s v="LICENCIA DENEGADA"/>
        <s v="MEDIO-ALTO"/>
        <s v="MEDIO-BAJO"/>
        <m/>
      </sharedItems>
    </cacheField>
    <cacheField name="ÁREA OCDE" numFmtId="0">
      <sharedItems/>
    </cacheField>
    <cacheField name="NOMBRE_PROGRAMA" numFmtId="0">
      <sharedItems/>
    </cacheField>
    <cacheField name="Financiamiento PROCIENCIA" numFmtId="0">
      <sharedItems containsBlank="1" containsMixedTypes="1" containsNumber="1" containsInteger="1" minValue="2015" maxValue="2023"/>
    </cacheField>
    <cacheField name="mat_2020-1" numFmtId="0">
      <sharedItems containsString="0" containsBlank="1" containsNumber="1" containsInteger="1" minValue="1" maxValue="2152"/>
    </cacheField>
    <cacheField name="mat_2020-2" numFmtId="0">
      <sharedItems containsString="0" containsBlank="1" containsNumber="1" containsInteger="1" minValue="1" maxValue="2282"/>
    </cacheField>
    <cacheField name="mat_2021-1" numFmtId="0">
      <sharedItems containsString="0" containsBlank="1" containsNumber="1" containsInteger="1" minValue="1" maxValue="2994"/>
    </cacheField>
    <cacheField name="mat_2021-2" numFmtId="0">
      <sharedItems containsString="0" containsBlank="1" containsNumber="1" containsInteger="1" minValue="1" maxValue="2747"/>
    </cacheField>
    <cacheField name="mat_2022-1" numFmtId="0">
      <sharedItems containsString="0" containsBlank="1" containsNumber="1" containsInteger="1" minValue="1" maxValue="2394"/>
    </cacheField>
    <cacheField name="mat_2022-2" numFmtId="0">
      <sharedItems containsString="0" containsBlank="1" containsNumber="1" containsInteger="1" minValue="1" maxValue="2280"/>
    </cacheField>
    <cacheField name="mat_2023-1" numFmtId="0">
      <sharedItems containsString="0" containsBlank="1" containsNumber="1" containsInteger="1" minValue="1" maxValue="1872"/>
    </cacheField>
    <cacheField name="mat_2023-2" numFmtId="0">
      <sharedItems containsString="0" containsBlank="1" containsNumber="1" containsInteger="1" minValue="1" maxValue="1542"/>
    </cacheField>
    <cacheField name="mat_2024-1" numFmtId="0">
      <sharedItems containsString="0" containsBlank="1" containsNumber="1" containsInteger="1" minValue="1" maxValue="942"/>
    </cacheField>
    <cacheField name="mat_2024-2" numFmtId="0">
      <sharedItems containsString="0" containsBlank="1" containsNumber="1" containsInteger="1" minValue="1" maxValue="238"/>
    </cacheField>
    <cacheField name="mat_2025-1" numFmtId="0">
      <sharedItems containsString="0" containsBlank="1" containsNumber="1" containsInteger="1" minValue="1" maxValue="155"/>
    </cacheField>
    <cacheField name="ORIGEN DATOS SUNEDU" numFmtId="0">
      <sharedItems containsBlank="1"/>
    </cacheField>
    <cacheField name="Mat-1" numFmtId="0">
      <sharedItems containsString="0" containsBlank="1" containsNumber="1" containsInteger="1" minValue="1" maxValue="942"/>
    </cacheField>
    <cacheField name="Mat-1_mujer" numFmtId="0">
      <sharedItems containsString="0" containsBlank="1" containsNumber="1" containsInteger="1" minValue="0" maxValue="579"/>
    </cacheField>
    <cacheField name="Mat-1_hombre" numFmtId="0">
      <sharedItems containsString="0" containsBlank="1" containsNumber="1" containsInteger="1" minValue="0" maxValue="464"/>
    </cacheField>
    <cacheField name="Promedio de EDADmat-1" numFmtId="0">
      <sharedItems containsString="0" containsBlank="1" containsNumber="1" minValue="32.68181818181818" maxValue="69"/>
    </cacheField>
    <cacheField name="Máx. de EDADmat-1" numFmtId="0">
      <sharedItems containsString="0" containsBlank="1" containsNumber="1" containsInteger="1" minValue="33" maxValue="70"/>
    </cacheField>
    <cacheField name="Mín. de EDADmat-1" numFmtId="0">
      <sharedItems containsString="0" containsBlank="1" containsNumber="1" containsInteger="1" minValue="22" maxValue="70"/>
    </cacheField>
    <cacheField name="Desvest de EDADmat-1" numFmtId="0">
      <sharedItems containsString="0" containsBlank="1" containsNumber="1" minValue="0" maxValue="64"/>
    </cacheField>
    <cacheField name="postulantes" numFmtId="1">
      <sharedItems containsString="0" containsBlank="1" containsNumber="1" containsInteger="1" minValue="1" maxValue="595"/>
    </cacheField>
    <cacheField name="ingresantes" numFmtId="1">
      <sharedItems containsString="0" containsBlank="1" containsNumber="1" containsInteger="1" minValue="1" maxValue="489"/>
    </cacheField>
    <cacheField name="Tasa ingreso" numFmtId="0">
      <sharedItems containsString="0" containsBlank="1" containsNumber="1" minValue="0" maxValue="1.5"/>
    </cacheField>
    <cacheField name="mat_ext" numFmtId="1">
      <sharedItems containsString="0" containsBlank="1" containsNumber="1" containsInteger="1" minValue="0" maxValue="184"/>
    </cacheField>
    <cacheField name="mat_per" numFmtId="1">
      <sharedItems containsString="0" containsBlank="1" containsNumber="1" containsInteger="1" minValue="0" maxValue="763"/>
    </cacheField>
    <cacheField name="Tasamatext" numFmtId="0">
      <sharedItems containsString="0" containsBlank="1" containsNumber="1" minValue="0" maxValue="6"/>
    </cacheField>
    <cacheField name="egresados_2022-1" numFmtId="0">
      <sharedItems containsString="0" containsBlank="1" containsNumber="1" containsInteger="1" minValue="0" maxValue="191"/>
    </cacheField>
    <cacheField name="egresados_2022-2" numFmtId="0">
      <sharedItems containsString="0" containsBlank="1" containsNumber="1" containsInteger="1" minValue="0" maxValue="354"/>
    </cacheField>
    <cacheField name="egresados_2023-1" numFmtId="0">
      <sharedItems containsString="0" containsBlank="1" containsNumber="1" containsInteger="1" minValue="0" maxValue="296"/>
    </cacheField>
    <cacheField name="egresados_2023-2" numFmtId="0">
      <sharedItems containsString="0" containsBlank="1" containsNumber="1" containsInteger="1" minValue="0" maxValue="622"/>
    </cacheField>
    <cacheField name="egresados_2023-3" numFmtId="0">
      <sharedItems containsString="0" containsBlank="1" containsNumber="1" containsInteger="1" minValue="0" maxValue="20"/>
    </cacheField>
    <cacheField name="egresados_2024-1" numFmtId="0">
      <sharedItems containsString="0" containsBlank="1" containsNumber="1" containsInteger="1" minValue="0" maxValue="137"/>
    </cacheField>
    <cacheField name="egresados_2024-2" numFmtId="0">
      <sharedItems containsString="0" containsBlank="1" containsNumber="1" containsInteger="1" minValue="0" maxValue="1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s v="Universidad Peruana Cayetano HerediaDoctorado en Ciencias con Mención en Bioquímica y Biología Molecular"/>
    <s v="260000014-206-9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3. Ciencias Médicas y de la Salud"/>
    <s v="Doctorado en Ciencias con Mención en Bioquímica y Biología Molecular"/>
    <n v="2020"/>
    <m/>
    <m/>
    <m/>
    <m/>
    <m/>
    <m/>
    <m/>
    <m/>
    <n v="3"/>
    <m/>
    <m/>
    <s v="2024-1"/>
    <n v="3"/>
    <n v="1"/>
    <n v="2"/>
    <n v="33"/>
    <n v="36"/>
    <n v="30"/>
    <n v="3"/>
    <m/>
    <m/>
    <m/>
    <n v="0"/>
    <n v="3"/>
    <n v="0"/>
    <n v="0"/>
    <n v="0"/>
    <n v="0"/>
    <n v="5"/>
    <n v="0"/>
    <n v="1"/>
    <n v="0"/>
  </r>
  <r>
    <s v="Universidad Peruana Cayetano HerediaDoctorado en Ciencias en Investigación Epidemiológica"/>
    <s v="260000014-214-0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5. Ciencias Sociales"/>
    <s v="Doctorado en Ciencias en Investigación Epidemiológica"/>
    <n v="2015"/>
    <m/>
    <n v="9"/>
    <n v="11"/>
    <m/>
    <m/>
    <m/>
    <n v="11"/>
    <m/>
    <n v="14"/>
    <m/>
    <m/>
    <s v="2024-1"/>
    <n v="14"/>
    <n v="7"/>
    <n v="7"/>
    <n v="34.153846153846153"/>
    <n v="53"/>
    <n v="28"/>
    <n v="7.7550645155940332"/>
    <n v="12"/>
    <n v="12"/>
    <n v="1"/>
    <n v="5"/>
    <n v="8"/>
    <n v="0.625"/>
    <n v="0"/>
    <n v="5"/>
    <n v="4"/>
    <n v="0"/>
    <n v="0"/>
    <n v="0"/>
    <n v="0"/>
  </r>
  <r>
    <s v="Universidad Nacional de IngenieríaDoctorado en Ciencias con Mención en Química"/>
    <s v="160000006-7-5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1. Ciencias Naturales"/>
    <s v="Doctorado en Ciencias con Mención en Química"/>
    <s v="2015;2023"/>
    <m/>
    <m/>
    <m/>
    <m/>
    <m/>
    <m/>
    <m/>
    <m/>
    <m/>
    <n v="14"/>
    <m/>
    <s v="2024-2"/>
    <n v="28"/>
    <n v="12"/>
    <n v="16"/>
    <n v="35.214285714285715"/>
    <n v="54"/>
    <n v="54"/>
    <n v="28"/>
    <n v="39"/>
    <n v="39"/>
    <n v="1"/>
    <n v="0"/>
    <n v="28"/>
    <n v="0"/>
    <m/>
    <m/>
    <m/>
    <m/>
    <m/>
    <m/>
    <m/>
  </r>
  <r>
    <s v="Universidad de San Martín de PorresGobierno y Política Pública"/>
    <s v="260000019-123-3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Gobierno y Política Pública"/>
    <m/>
    <m/>
    <n v="20"/>
    <m/>
    <m/>
    <m/>
    <m/>
    <n v="11"/>
    <n v="4"/>
    <n v="4"/>
    <m/>
    <m/>
    <s v="2024-1"/>
    <n v="4"/>
    <n v="0"/>
    <n v="4"/>
    <n v="35.333333333333336"/>
    <n v="38"/>
    <n v="33"/>
    <n v="2.516611478423568"/>
    <m/>
    <m/>
    <m/>
    <n v="0"/>
    <n v="4"/>
    <n v="0"/>
    <m/>
    <m/>
    <m/>
    <m/>
    <m/>
    <m/>
    <m/>
  </r>
  <r>
    <s v="Universidad Nacional de San Antonio Abad del CuscoDoctorado en Derecho"/>
    <s v="160000003-87-4"/>
    <n v="160000003"/>
    <s v="Universidad Nacional de San Antonio Abad del Cusco"/>
    <s v="UNSAAC"/>
    <s v="Universidad"/>
    <s v="Público"/>
    <s v="Pública"/>
    <s v="LICENCIADA"/>
    <s v="2019 - 2027"/>
    <n v="8"/>
    <s v="CUSCO"/>
    <s v=" CUSCO"/>
    <s v="CUSCO"/>
    <s v="SIERRA"/>
    <x v="0"/>
    <s v="5. Ciencias Sociales"/>
    <s v="Doctorado en Derecho"/>
    <m/>
    <n v="34"/>
    <m/>
    <m/>
    <m/>
    <m/>
    <m/>
    <m/>
    <m/>
    <m/>
    <m/>
    <m/>
    <s v="2020-1"/>
    <n v="68"/>
    <n v="34"/>
    <n v="34"/>
    <n v="35.647058823529413"/>
    <n v="55"/>
    <n v="25"/>
    <n v="8.4848674883580539"/>
    <m/>
    <m/>
    <m/>
    <n v="0"/>
    <n v="68"/>
    <n v="0"/>
    <m/>
    <m/>
    <m/>
    <m/>
    <m/>
    <m/>
    <m/>
  </r>
  <r>
    <s v="Pontificia Universidad Católica del PerúFísica"/>
    <s v="260000008-125-5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1. Ciencias Naturales"/>
    <s v="Física"/>
    <n v="2015"/>
    <m/>
    <m/>
    <m/>
    <m/>
    <n v="20"/>
    <n v="9"/>
    <n v="13"/>
    <n v="15"/>
    <n v="8"/>
    <n v="7"/>
    <n v="9"/>
    <s v="2024-1"/>
    <n v="8"/>
    <n v="1"/>
    <n v="7"/>
    <n v="36"/>
    <n v="57"/>
    <n v="26"/>
    <n v="9.5018795133233667"/>
    <n v="3"/>
    <n v="2"/>
    <n v="0.66666666666666663"/>
    <n v="0"/>
    <n v="8"/>
    <n v="0"/>
    <n v="0"/>
    <n v="0"/>
    <n v="0"/>
    <n v="0"/>
    <n v="0"/>
    <n v="0"/>
    <n v="1"/>
  </r>
  <r>
    <s v="Universidad Nacional de IngenieríaDoctorado en Ciencias con Mención en Física"/>
    <s v="160000006-5-5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1. Ciencias Naturales"/>
    <s v="Doctorado en Ciencias con Mención en Física"/>
    <s v="2015;2018;2023"/>
    <m/>
    <m/>
    <m/>
    <m/>
    <m/>
    <m/>
    <m/>
    <m/>
    <m/>
    <n v="15"/>
    <m/>
    <s v="2024-2"/>
    <n v="30"/>
    <n v="10"/>
    <n v="20"/>
    <n v="36.666666666666664"/>
    <n v="63"/>
    <n v="63"/>
    <n v="31"/>
    <n v="17"/>
    <n v="17"/>
    <n v="1"/>
    <n v="0"/>
    <n v="30"/>
    <n v="0"/>
    <m/>
    <m/>
    <m/>
    <m/>
    <m/>
    <m/>
    <m/>
  </r>
  <r>
    <s v="Universidad Nacional Mayor de San MarcosCiencias Biológicas"/>
    <s v="160000001-40-5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1. Ciencias Naturales"/>
    <s v="Ciencias Biológicas"/>
    <n v="2023"/>
    <n v="20"/>
    <n v="18"/>
    <n v="21"/>
    <n v="14"/>
    <m/>
    <n v="15"/>
    <n v="11"/>
    <m/>
    <m/>
    <n v="12"/>
    <n v="27"/>
    <s v="2024-2"/>
    <n v="24"/>
    <n v="10"/>
    <n v="14"/>
    <n v="37.25"/>
    <n v="56"/>
    <n v="56"/>
    <n v="28"/>
    <n v="51"/>
    <n v="51"/>
    <n v="1"/>
    <n v="0"/>
    <n v="24"/>
    <n v="0"/>
    <n v="1"/>
    <n v="5"/>
    <n v="0"/>
    <n v="3"/>
    <n v="0"/>
    <n v="0"/>
    <n v="4"/>
  </r>
  <r>
    <s v="Universidad Nacional Agraria La MolinaNutrición"/>
    <s v="160000007-38-9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3. Ciencias Médicas y de la Salud"/>
    <s v="Nutrición"/>
    <n v="2023"/>
    <m/>
    <n v="5"/>
    <n v="9"/>
    <n v="10"/>
    <n v="8"/>
    <n v="11"/>
    <n v="18"/>
    <n v="16"/>
    <n v="37"/>
    <n v="35"/>
    <n v="44"/>
    <s v="2024-1"/>
    <n v="37"/>
    <n v="24"/>
    <n v="13"/>
    <n v="37.361111111111114"/>
    <n v="64"/>
    <n v="26"/>
    <n v="9.957489005848176"/>
    <n v="89"/>
    <n v="53"/>
    <n v="0.5955056179775281"/>
    <n v="0"/>
    <n v="37"/>
    <n v="0"/>
    <m/>
    <m/>
    <m/>
    <m/>
    <m/>
    <m/>
    <m/>
  </r>
  <r>
    <s v="Pontificia Universidad Católica del PerúDoctorado en Teología"/>
    <s v="26000149A-22-2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6. Humanidades"/>
    <s v="Doctorado en Teología"/>
    <m/>
    <m/>
    <n v="5"/>
    <n v="6"/>
    <n v="4"/>
    <n v="2"/>
    <n v="2"/>
    <m/>
    <m/>
    <m/>
    <m/>
    <n v="2"/>
    <s v="2025-1"/>
    <n v="4"/>
    <n v="0"/>
    <n v="4"/>
    <n v="38"/>
    <n v="40"/>
    <n v="36"/>
    <n v="2.3094010767585029"/>
    <m/>
    <m/>
    <m/>
    <n v="0"/>
    <n v="4"/>
    <n v="0"/>
    <m/>
    <n v="2"/>
    <m/>
    <m/>
    <m/>
    <m/>
    <m/>
  </r>
  <r>
    <s v="Pontificia Universidad Católica del PerúIngeniería"/>
    <s v="260000008-161-7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2. Ingeniería y Tecnología"/>
    <s v="Ingeniería"/>
    <s v="2018;2020"/>
    <m/>
    <m/>
    <m/>
    <m/>
    <n v="73"/>
    <n v="67"/>
    <n v="68"/>
    <n v="59"/>
    <n v="72"/>
    <n v="67"/>
    <n v="77"/>
    <s v="2024-1"/>
    <n v="72"/>
    <n v="10"/>
    <n v="62"/>
    <n v="38.125"/>
    <n v="60"/>
    <n v="24"/>
    <n v="7.8917634010064441"/>
    <n v="37"/>
    <n v="18"/>
    <n v="0.48648648648648651"/>
    <n v="2"/>
    <n v="70"/>
    <n v="2.8571428571428571E-2"/>
    <n v="1"/>
    <n v="1"/>
    <n v="1"/>
    <n v="7"/>
    <n v="0"/>
    <n v="2"/>
    <n v="1"/>
  </r>
  <r>
    <s v="Universidad de PiuraDoctorado en Ingeniería, Mención Automatización, Control y Optimización de Procesos"/>
    <s v="260000029-28-7"/>
    <n v="260000029"/>
    <s v="Universidad de Piura"/>
    <s v="UDEP"/>
    <s v="Universidad"/>
    <s v="Privado"/>
    <s v="Asociativa- Sin fines de lucro"/>
    <s v="LICENCIADA"/>
    <s v="2017 - 2025"/>
    <n v="8"/>
    <s v="PIURA"/>
    <s v=" PIURA"/>
    <s v="PIURA"/>
    <s v="COSTA"/>
    <x v="0"/>
    <s v="2. Ingeniería y Tecnología"/>
    <s v="Doctorado en Ingeniería, Mención Automatización, Control y Optimización de Procesos"/>
    <n v="2018"/>
    <n v="13"/>
    <m/>
    <m/>
    <m/>
    <m/>
    <m/>
    <m/>
    <m/>
    <m/>
    <m/>
    <m/>
    <s v="2020-1"/>
    <n v="26"/>
    <n v="6"/>
    <n v="20"/>
    <n v="39.230769230769234"/>
    <n v="59"/>
    <n v="28"/>
    <n v="11.229631133061108"/>
    <m/>
    <m/>
    <m/>
    <n v="0"/>
    <n v="26"/>
    <n v="0"/>
    <m/>
    <m/>
    <m/>
    <m/>
    <m/>
    <m/>
    <m/>
  </r>
  <r>
    <s v="Pontificia Universidad Católica del PerúFilosofía"/>
    <s v="260000008-120-2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6. Humanidades"/>
    <s v="Filosofía"/>
    <m/>
    <m/>
    <m/>
    <m/>
    <m/>
    <n v="7"/>
    <n v="8"/>
    <m/>
    <n v="5"/>
    <n v="1"/>
    <n v="8"/>
    <n v="9"/>
    <s v="2024-1"/>
    <n v="1"/>
    <n v="0"/>
    <n v="1"/>
    <n v="40"/>
    <n v="40"/>
    <n v="40"/>
    <n v="0"/>
    <n v="4"/>
    <n v="3"/>
    <n v="0.75"/>
    <n v="0"/>
    <n v="1"/>
    <n v="0"/>
    <m/>
    <m/>
    <m/>
    <m/>
    <m/>
    <m/>
    <m/>
  </r>
  <r>
    <s v="Universidad Peruana Cayetano HerediaDoctorado en Estomatología"/>
    <s v="260000014-211-9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3. Ciencias Médicas y de la Salud"/>
    <s v="Doctorado en Estomatología"/>
    <m/>
    <m/>
    <n v="15"/>
    <m/>
    <m/>
    <m/>
    <m/>
    <m/>
    <m/>
    <n v="12"/>
    <n v="7"/>
    <m/>
    <s v="2024-1"/>
    <n v="12"/>
    <n v="3"/>
    <n v="9"/>
    <n v="40.25"/>
    <n v="51"/>
    <n v="28"/>
    <n v="7.350015460713486"/>
    <n v="7"/>
    <n v="7"/>
    <n v="1"/>
    <n v="0"/>
    <n v="12"/>
    <n v="0"/>
    <m/>
    <m/>
    <m/>
    <m/>
    <m/>
    <m/>
    <m/>
  </r>
  <r>
    <s v="Pontificia Universidad Católica del PerúMatemáticas"/>
    <s v="260000008-201-5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1. Ciencias Naturales"/>
    <s v="Matemáticas"/>
    <m/>
    <m/>
    <m/>
    <m/>
    <m/>
    <n v="4"/>
    <n v="4"/>
    <n v="6"/>
    <n v="7"/>
    <n v="6"/>
    <n v="9"/>
    <n v="7"/>
    <s v="2024-1"/>
    <n v="6"/>
    <n v="1"/>
    <n v="5"/>
    <n v="40.5"/>
    <n v="54"/>
    <n v="28"/>
    <n v="10.251829105091442"/>
    <n v="3"/>
    <n v="1"/>
    <n v="0.33333333333333331"/>
    <n v="0"/>
    <n v="6"/>
    <n v="0"/>
    <m/>
    <m/>
    <m/>
    <m/>
    <m/>
    <m/>
    <m/>
  </r>
  <r>
    <s v="Universidad de PiuraDoctorado en Derecho"/>
    <s v="260000029-24-4"/>
    <n v="260000029"/>
    <s v="Universidad de Piura"/>
    <s v="UDEP"/>
    <s v="Universidad"/>
    <s v="Privado"/>
    <s v="Asociativa- Sin fines de lucro"/>
    <s v="LICENCIADA"/>
    <s v="2017 - 2025"/>
    <n v="8"/>
    <s v="PIURA"/>
    <s v=" PIURA"/>
    <s v="PIURA"/>
    <s v="COSTA"/>
    <x v="0"/>
    <s v="5. Ciencias Sociales"/>
    <s v="Doctorado en Derecho"/>
    <m/>
    <n v="7"/>
    <m/>
    <m/>
    <m/>
    <m/>
    <m/>
    <m/>
    <m/>
    <m/>
    <m/>
    <m/>
    <s v="2020-1"/>
    <n v="14"/>
    <n v="8"/>
    <n v="6"/>
    <n v="40.714285714285715"/>
    <n v="51"/>
    <n v="35"/>
    <n v="6.1946449755919222"/>
    <m/>
    <m/>
    <m/>
    <n v="0"/>
    <n v="14"/>
    <n v="0"/>
    <m/>
    <m/>
    <m/>
    <m/>
    <m/>
    <m/>
    <m/>
  </r>
  <r>
    <s v="Universidad Nacional Mayor de San MarcosEconomía"/>
    <s v="160000001-81-3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Economía"/>
    <m/>
    <n v="21"/>
    <m/>
    <n v="10"/>
    <n v="19"/>
    <m/>
    <n v="19"/>
    <n v="14"/>
    <m/>
    <m/>
    <n v="15"/>
    <m/>
    <s v="2024-2"/>
    <n v="30"/>
    <n v="12"/>
    <n v="18"/>
    <n v="40.714285714285715"/>
    <n v="51"/>
    <n v="51"/>
    <n v="27"/>
    <m/>
    <m/>
    <m/>
    <n v="0"/>
    <n v="30"/>
    <n v="0"/>
    <n v="3"/>
    <n v="0"/>
    <n v="2"/>
    <n v="0"/>
    <n v="0"/>
    <n v="0"/>
    <n v="0"/>
  </r>
  <r>
    <s v="Universidad de San Martín de PorresDerecho"/>
    <s v="260000019-45-4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Derecho"/>
    <m/>
    <n v="20"/>
    <n v="34"/>
    <m/>
    <m/>
    <n v="44"/>
    <m/>
    <n v="3"/>
    <n v="15"/>
    <n v="24"/>
    <m/>
    <n v="28"/>
    <s v="2024-1"/>
    <n v="24"/>
    <n v="8"/>
    <n v="16"/>
    <n v="40.791666666666664"/>
    <n v="64"/>
    <n v="30"/>
    <n v="9.352884543036037"/>
    <n v="15"/>
    <n v="15"/>
    <n v="1"/>
    <n v="0"/>
    <n v="24"/>
    <n v="0"/>
    <n v="1"/>
    <n v="10"/>
    <n v="0"/>
    <n v="0"/>
    <n v="0"/>
    <n v="0"/>
    <n v="0"/>
  </r>
  <r>
    <s v="Pontificia Universidad Católica del PerúEstudios Psicoanalíticos"/>
    <s v="260000008-117-3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Estudios Psicoanalíticos"/>
    <m/>
    <m/>
    <m/>
    <m/>
    <m/>
    <n v="2"/>
    <n v="1"/>
    <n v="1"/>
    <n v="1"/>
    <n v="1"/>
    <m/>
    <n v="2"/>
    <s v="2024-1"/>
    <n v="1"/>
    <n v="0"/>
    <n v="1"/>
    <n v="41"/>
    <n v="41"/>
    <n v="41"/>
    <n v="0"/>
    <m/>
    <m/>
    <m/>
    <n v="0"/>
    <n v="1"/>
    <n v="0"/>
    <m/>
    <m/>
    <m/>
    <m/>
    <m/>
    <m/>
    <m/>
  </r>
  <r>
    <s v="Universidad Peruana Cayetano HerediaDoctorado en Ciencias con Mención en Microbiología"/>
    <s v="260000014-207-5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1. Ciencias Naturales"/>
    <s v="Doctorado en Ciencias con Mención en Microbiología"/>
    <m/>
    <m/>
    <n v="1"/>
    <m/>
    <m/>
    <m/>
    <m/>
    <m/>
    <m/>
    <m/>
    <m/>
    <m/>
    <s v="2020-2"/>
    <n v="2"/>
    <n v="0"/>
    <n v="2"/>
    <n v="41"/>
    <n v="41"/>
    <n v="41"/>
    <n v="0"/>
    <m/>
    <m/>
    <m/>
    <n v="0"/>
    <n v="2"/>
    <n v="0"/>
    <m/>
    <m/>
    <m/>
    <m/>
    <m/>
    <m/>
    <m/>
  </r>
  <r>
    <s v="Universidad de San Martín de PorresOdontología"/>
    <s v="260000019-175-9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3. Ciencias Médicas y de la Salud"/>
    <s v="Odontología"/>
    <m/>
    <n v="5"/>
    <m/>
    <m/>
    <m/>
    <n v="16"/>
    <m/>
    <n v="8"/>
    <n v="6"/>
    <n v="4"/>
    <m/>
    <n v="2"/>
    <s v="2024-1"/>
    <n v="4"/>
    <n v="3"/>
    <n v="1"/>
    <n v="41.25"/>
    <n v="57"/>
    <n v="35"/>
    <n v="10.531698185319719"/>
    <n v="1"/>
    <m/>
    <n v="0"/>
    <n v="0"/>
    <n v="4"/>
    <n v="0"/>
    <n v="0"/>
    <n v="4"/>
    <n v="0"/>
    <n v="0"/>
    <n v="0"/>
    <n v="0"/>
    <n v="0"/>
  </r>
  <r>
    <s v="Pontificia Universidad Católica del PerúLingüística con Mención en Estudios Andinos"/>
    <s v="260000008-188-2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6. Humanidades"/>
    <s v="Lingüística con Mención en Estudios Andinos"/>
    <m/>
    <m/>
    <m/>
    <m/>
    <m/>
    <n v="1"/>
    <n v="1"/>
    <n v="2"/>
    <n v="2"/>
    <n v="4"/>
    <n v="3"/>
    <n v="3"/>
    <s v="2024-1"/>
    <n v="4"/>
    <n v="1"/>
    <n v="3"/>
    <n v="41.25"/>
    <n v="50"/>
    <n v="34"/>
    <n v="6.6017674401127868"/>
    <n v="3"/>
    <n v="3"/>
    <n v="1"/>
    <n v="0"/>
    <n v="4"/>
    <n v="0"/>
    <m/>
    <m/>
    <m/>
    <m/>
    <m/>
    <m/>
    <m/>
  </r>
  <r>
    <s v="Universidad Nacional Agraria La MolinaIngeniería y Ciencias Ambientales"/>
    <s v="160000007-32-5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1. Ciencias Naturales"/>
    <s v="Ingeniería y Ciencias Ambientales"/>
    <n v="2023"/>
    <m/>
    <n v="39"/>
    <n v="44"/>
    <n v="51"/>
    <n v="58"/>
    <n v="49"/>
    <n v="50"/>
    <n v="29"/>
    <n v="45"/>
    <n v="39"/>
    <n v="46"/>
    <s v="2024-1"/>
    <n v="45"/>
    <n v="23"/>
    <n v="22"/>
    <n v="41.266666666666666"/>
    <n v="60"/>
    <n v="26"/>
    <n v="9.3793777657543647"/>
    <n v="114"/>
    <n v="49"/>
    <n v="0.42982456140350878"/>
    <n v="3"/>
    <n v="42"/>
    <n v="7.1428571428571425E-2"/>
    <m/>
    <m/>
    <m/>
    <m/>
    <m/>
    <m/>
    <m/>
  </r>
  <r>
    <s v="Universidad Nacional Mayor de San MarcosLingüística"/>
    <s v="160000001-218-2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6. Humanidades"/>
    <s v="Lingüística"/>
    <m/>
    <n v="22"/>
    <n v="17"/>
    <n v="24"/>
    <n v="19"/>
    <m/>
    <n v="14"/>
    <n v="10"/>
    <m/>
    <m/>
    <n v="11"/>
    <n v="8"/>
    <s v="2024-2"/>
    <n v="22"/>
    <n v="16"/>
    <n v="6"/>
    <n v="41.727272727272727"/>
    <n v="59"/>
    <n v="59"/>
    <n v="31"/>
    <n v="9"/>
    <n v="9"/>
    <n v="1"/>
    <n v="0"/>
    <n v="22"/>
    <n v="0"/>
    <n v="0"/>
    <n v="1"/>
    <n v="2"/>
    <n v="4"/>
    <n v="0"/>
    <n v="0"/>
    <n v="5"/>
  </r>
  <r>
    <s v="Pontificia Universidad Católica del PerúDerecho"/>
    <s v="260000008-51-4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Derecho"/>
    <m/>
    <m/>
    <m/>
    <m/>
    <m/>
    <n v="23"/>
    <n v="23"/>
    <n v="11"/>
    <n v="13"/>
    <n v="20"/>
    <n v="22"/>
    <n v="10"/>
    <s v="2024-1"/>
    <n v="20"/>
    <n v="7"/>
    <n v="13"/>
    <n v="41.75"/>
    <n v="66"/>
    <n v="29"/>
    <n v="9.5138403336789725"/>
    <n v="31"/>
    <n v="10"/>
    <n v="0.32258064516129031"/>
    <n v="1"/>
    <n v="19"/>
    <n v="5.2631578947368418E-2"/>
    <n v="0"/>
    <n v="0"/>
    <n v="4"/>
    <n v="0"/>
    <n v="0"/>
    <n v="0"/>
    <n v="7"/>
  </r>
  <r>
    <s v="Universidad Nacional de San Antonio Abad del CuscoDoctorado en Administración"/>
    <s v="160000003-86-4"/>
    <n v="160000003"/>
    <s v="Universidad Nacional de San Antonio Abad del Cusco"/>
    <s v="UNSAAC"/>
    <s v="Universidad"/>
    <s v="Público"/>
    <s v="Pública"/>
    <s v="LICENCIADA"/>
    <s v="2019 - 2027"/>
    <n v="8"/>
    <s v="CUSCO"/>
    <s v=" CUSCO"/>
    <s v="CUSCO"/>
    <s v="SIERRA"/>
    <x v="0"/>
    <s v="5. Ciencias Sociales"/>
    <s v="Doctorado en Administración"/>
    <m/>
    <n v="52"/>
    <m/>
    <m/>
    <m/>
    <m/>
    <m/>
    <m/>
    <m/>
    <m/>
    <m/>
    <m/>
    <s v="2020-1"/>
    <n v="104"/>
    <n v="62"/>
    <n v="42"/>
    <n v="41.942307692307693"/>
    <n v="67"/>
    <n v="28"/>
    <n v="10.333118518248654"/>
    <n v="18"/>
    <n v="18"/>
    <n v="1"/>
    <n v="0"/>
    <n v="104"/>
    <n v="0"/>
    <m/>
    <m/>
    <m/>
    <m/>
    <m/>
    <m/>
    <m/>
  </r>
  <r>
    <s v="Universidad Nacional Mayor de San MarcosMedicina Veterinaria"/>
    <s v="160000001-385-8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4. Ciencias Agrícolas"/>
    <s v="Medicina Veterinaria"/>
    <m/>
    <n v="7"/>
    <n v="8"/>
    <n v="15"/>
    <n v="13"/>
    <m/>
    <n v="11"/>
    <n v="8"/>
    <m/>
    <m/>
    <n v="3"/>
    <n v="2"/>
    <s v="2024-2"/>
    <n v="6"/>
    <n v="4"/>
    <n v="2"/>
    <n v="42"/>
    <n v="46"/>
    <n v="46"/>
    <n v="36"/>
    <m/>
    <m/>
    <m/>
    <n v="0"/>
    <n v="6"/>
    <n v="0"/>
    <n v="2"/>
    <n v="4"/>
    <n v="1"/>
    <n v="4"/>
    <n v="0"/>
    <n v="1"/>
    <n v="0"/>
  </r>
  <r>
    <s v="Pontificia Universidad Católica del PerúEconomía"/>
    <s v="260000008-83-3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Economía"/>
    <m/>
    <m/>
    <m/>
    <m/>
    <m/>
    <n v="11"/>
    <n v="9"/>
    <n v="11"/>
    <n v="11"/>
    <n v="8"/>
    <n v="7"/>
    <n v="6"/>
    <s v="2024-1"/>
    <n v="8"/>
    <n v="1"/>
    <n v="7"/>
    <n v="42.125"/>
    <n v="45"/>
    <n v="37"/>
    <n v="3.2705394924123103"/>
    <n v="15"/>
    <n v="2"/>
    <n v="0.13333333333333333"/>
    <n v="0"/>
    <n v="8"/>
    <n v="0"/>
    <m/>
    <m/>
    <m/>
    <m/>
    <m/>
    <m/>
    <m/>
  </r>
  <r>
    <s v="Pontificia Universidad Católica del PerúLiteratura Hispanoamericana"/>
    <s v="260000008-81-2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6. Humanidades"/>
    <s v="Literatura Hispanoamericana"/>
    <m/>
    <m/>
    <m/>
    <m/>
    <m/>
    <n v="22"/>
    <n v="20"/>
    <n v="23"/>
    <n v="16"/>
    <n v="18"/>
    <n v="14"/>
    <n v="17"/>
    <s v="2024-1"/>
    <n v="18"/>
    <n v="2"/>
    <n v="16"/>
    <n v="42.722222222222221"/>
    <n v="69"/>
    <n v="32"/>
    <n v="8.518530358995271"/>
    <n v="13"/>
    <n v="9"/>
    <n v="0.69230769230769229"/>
    <n v="2"/>
    <n v="16"/>
    <n v="0.125"/>
    <m/>
    <m/>
    <m/>
    <m/>
    <m/>
    <m/>
    <m/>
  </r>
  <r>
    <s v="Universidad Nacional Mayor de San MarcosDerecho y Ciencia Política"/>
    <s v="160000001-71-4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Derecho y Ciencia Política"/>
    <m/>
    <n v="132"/>
    <n v="137"/>
    <n v="137"/>
    <n v="131"/>
    <m/>
    <n v="135"/>
    <n v="85"/>
    <m/>
    <m/>
    <n v="69"/>
    <n v="43"/>
    <s v="2024-2"/>
    <n v="138"/>
    <n v="38"/>
    <n v="100"/>
    <n v="42.924242424242422"/>
    <n v="61"/>
    <n v="61"/>
    <n v="29"/>
    <n v="53"/>
    <n v="53"/>
    <n v="1"/>
    <n v="2"/>
    <n v="130"/>
    <n v="1.5384615384615385E-2"/>
    <n v="0"/>
    <n v="42"/>
    <n v="0"/>
    <n v="45"/>
    <n v="0"/>
    <n v="0"/>
    <n v="34"/>
  </r>
  <r>
    <s v="Universidad Nacional Agraria La MolinaEconomía de Los Recursos Naturales y el Desarrollo Sustentable"/>
    <s v="160000007-18-3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5. Ciencias Sociales"/>
    <s v="Economía de Los Recursos Naturales y el Desarrollo Sustentable"/>
    <n v="2015"/>
    <m/>
    <n v="12"/>
    <n v="17"/>
    <n v="32"/>
    <n v="25"/>
    <n v="17"/>
    <n v="14"/>
    <n v="10"/>
    <n v="9"/>
    <n v="18"/>
    <n v="18"/>
    <s v="2024-1"/>
    <n v="9"/>
    <n v="4"/>
    <n v="5"/>
    <n v="43"/>
    <n v="57"/>
    <n v="34"/>
    <n v="7.745966692414834"/>
    <n v="17"/>
    <n v="13"/>
    <n v="0.76470588235294112"/>
    <n v="1"/>
    <n v="8"/>
    <n v="0.125"/>
    <m/>
    <m/>
    <m/>
    <m/>
    <m/>
    <m/>
    <m/>
  </r>
  <r>
    <s v="Pontificia Universidad Católica del PerúPsicología"/>
    <s v="260000008-237-3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Psicología"/>
    <m/>
    <m/>
    <m/>
    <m/>
    <m/>
    <n v="25"/>
    <n v="18"/>
    <n v="19"/>
    <n v="20"/>
    <n v="26"/>
    <n v="27"/>
    <n v="25"/>
    <s v="2024-1"/>
    <n v="26"/>
    <n v="13"/>
    <n v="13"/>
    <n v="43.115384615384613"/>
    <n v="69"/>
    <n v="32"/>
    <n v="10.599346859413261"/>
    <n v="9"/>
    <n v="5"/>
    <n v="0.55555555555555558"/>
    <n v="0"/>
    <n v="26"/>
    <n v="0"/>
    <m/>
    <m/>
    <m/>
    <m/>
    <m/>
    <m/>
    <m/>
  </r>
  <r>
    <s v="Universidad Nacional Mayor de San MarcosEnfermería"/>
    <s v="160000001-118-9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3. Ciencias Médicas y de la Salud"/>
    <s v="Enfermería"/>
    <m/>
    <n v="13"/>
    <n v="14"/>
    <n v="8"/>
    <n v="17"/>
    <m/>
    <n v="8"/>
    <n v="8"/>
    <m/>
    <m/>
    <n v="8"/>
    <n v="10"/>
    <s v="2024-2"/>
    <n v="16"/>
    <n v="14"/>
    <n v="2"/>
    <n v="43.25"/>
    <n v="51"/>
    <n v="51"/>
    <n v="35"/>
    <n v="12"/>
    <n v="12"/>
    <n v="1"/>
    <n v="0"/>
    <n v="16"/>
    <n v="0"/>
    <n v="0"/>
    <n v="0"/>
    <n v="0"/>
    <n v="0"/>
    <n v="0"/>
    <n v="7"/>
    <n v="0"/>
  </r>
  <r>
    <s v="Universidad Nacional Agraria La MolinaCiencias e Ingeniería Biológicas"/>
    <s v="160000007-11-5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1. Ciencias Naturales"/>
    <s v="Ciencias e Ingeniería Biológicas"/>
    <n v="2015"/>
    <m/>
    <n v="21"/>
    <n v="24"/>
    <n v="24"/>
    <n v="15"/>
    <n v="10"/>
    <n v="11"/>
    <n v="8"/>
    <n v="8"/>
    <n v="6"/>
    <n v="6"/>
    <s v="2024-1"/>
    <n v="8"/>
    <n v="2"/>
    <n v="6"/>
    <n v="43.25"/>
    <n v="50"/>
    <n v="35"/>
    <n v="5.7008771254956896"/>
    <n v="2"/>
    <n v="1"/>
    <n v="0.5"/>
    <n v="0"/>
    <n v="8"/>
    <n v="0"/>
    <m/>
    <m/>
    <m/>
    <m/>
    <m/>
    <m/>
    <m/>
  </r>
  <r>
    <s v="Pontificia Universidad Católica del PerúAdministración Estratégica de Empresas"/>
    <s v="260000008-6-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Administración Estratégica de Empresas"/>
    <m/>
    <m/>
    <m/>
    <m/>
    <m/>
    <n v="25"/>
    <n v="15"/>
    <n v="29"/>
    <n v="72"/>
    <n v="23"/>
    <n v="31"/>
    <n v="33"/>
    <s v="2024-1"/>
    <n v="23"/>
    <n v="3"/>
    <n v="20"/>
    <n v="43.347826086956523"/>
    <n v="55"/>
    <n v="30"/>
    <n v="7.2839093877106471"/>
    <n v="40"/>
    <n v="40"/>
    <n v="1"/>
    <n v="6"/>
    <n v="17"/>
    <n v="0.35294117647058826"/>
    <n v="1"/>
    <n v="1"/>
    <n v="1"/>
    <n v="1"/>
    <n v="0"/>
    <n v="2"/>
    <n v="1"/>
  </r>
  <r>
    <s v="Universidad Nacional de IngenieríaDoctorado en Ciencias e Ingeniería Ambientales con mención en Abastecimiento de Agua y Saneamiento"/>
    <s v="160000006-200-5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1. Ciencias Naturales"/>
    <s v="Doctorado en Ciencias e Ingeniería Ambientales con mención en Abastecimiento de Agua y Saneamiento"/>
    <m/>
    <n v="5"/>
    <m/>
    <m/>
    <m/>
    <m/>
    <m/>
    <m/>
    <m/>
    <m/>
    <m/>
    <m/>
    <s v="2020-1"/>
    <n v="10"/>
    <n v="2"/>
    <n v="8"/>
    <n v="43.6"/>
    <n v="55"/>
    <n v="34"/>
    <n v="8.1812794435426479"/>
    <n v="2"/>
    <n v="2"/>
    <n v="1"/>
    <n v="0"/>
    <n v="10"/>
    <n v="0"/>
    <m/>
    <m/>
    <m/>
    <m/>
    <m/>
    <m/>
    <m/>
  </r>
  <r>
    <s v="Universidad Peruana Cayetano HerediaDoctorado en Psicología"/>
    <s v="260000014-209-3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5. Ciencias Sociales"/>
    <s v="Doctorado en Psicología"/>
    <m/>
    <m/>
    <n v="19"/>
    <n v="12"/>
    <m/>
    <m/>
    <m/>
    <n v="13"/>
    <n v="25"/>
    <n v="39"/>
    <n v="31"/>
    <m/>
    <s v="2024-1"/>
    <n v="39"/>
    <n v="21"/>
    <n v="18"/>
    <n v="43.615384615384613"/>
    <n v="68"/>
    <n v="27"/>
    <n v="10.363436192527992"/>
    <n v="24"/>
    <n v="24"/>
    <n v="1"/>
    <n v="1"/>
    <n v="36"/>
    <n v="2.7777777777777776E-2"/>
    <m/>
    <m/>
    <m/>
    <m/>
    <m/>
    <m/>
    <m/>
  </r>
  <r>
    <s v="Universidad de San Martín de PorresAdministración"/>
    <s v="260000019-2-4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Administración"/>
    <m/>
    <n v="28"/>
    <n v="24"/>
    <m/>
    <m/>
    <n v="38"/>
    <m/>
    <n v="14"/>
    <m/>
    <n v="21"/>
    <m/>
    <n v="1"/>
    <s v="2024-1"/>
    <n v="21"/>
    <n v="14"/>
    <n v="7"/>
    <n v="43.80952380952381"/>
    <n v="58"/>
    <n v="27"/>
    <n v="9.1028514632451625"/>
    <n v="11"/>
    <n v="11"/>
    <n v="1"/>
    <n v="18"/>
    <n v="3"/>
    <n v="6"/>
    <n v="0"/>
    <n v="27"/>
    <n v="0"/>
    <n v="0"/>
    <n v="0"/>
    <n v="0"/>
    <n v="0"/>
  </r>
  <r>
    <s v="Pontificia Universidad Católica del PerúGestión Estratégica con Mención en Gestión Empresarial y Sostenibilidad"/>
    <s v="260000008-143-4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Gestión Estratégica con Mención en Gestión Empresarial y Sostenibilidad"/>
    <m/>
    <m/>
    <m/>
    <m/>
    <m/>
    <n v="35"/>
    <n v="31"/>
    <n v="41"/>
    <n v="36"/>
    <n v="49"/>
    <n v="49"/>
    <n v="50"/>
    <s v="2024-1"/>
    <n v="49"/>
    <n v="17"/>
    <n v="32"/>
    <n v="43.895833333333336"/>
    <n v="67"/>
    <n v="29"/>
    <n v="9.2718736965066419"/>
    <n v="21"/>
    <n v="17"/>
    <n v="0.80952380952380953"/>
    <n v="0"/>
    <n v="48"/>
    <n v="0"/>
    <n v="0"/>
    <n v="0"/>
    <n v="3"/>
    <n v="1"/>
    <n v="0"/>
    <n v="0"/>
    <n v="2"/>
  </r>
  <r>
    <s v="Universidad de San Martín de PorresPsicología"/>
    <s v="260000019-198-3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Psicología"/>
    <m/>
    <n v="8"/>
    <n v="43"/>
    <m/>
    <m/>
    <n v="79"/>
    <m/>
    <n v="65"/>
    <n v="39"/>
    <n v="58"/>
    <m/>
    <n v="16"/>
    <s v="2024-1"/>
    <n v="58"/>
    <n v="31"/>
    <n v="27"/>
    <n v="44.228070175438596"/>
    <n v="69"/>
    <n v="27"/>
    <n v="11.751926200566395"/>
    <n v="32"/>
    <n v="32"/>
    <n v="1"/>
    <n v="0"/>
    <n v="58"/>
    <n v="0"/>
    <n v="13"/>
    <n v="6"/>
    <n v="0"/>
    <n v="0"/>
    <n v="0"/>
    <n v="0"/>
    <n v="0"/>
  </r>
  <r>
    <s v="Pontificia Universidad Católica del PerúCiencia Política y Gobierno"/>
    <s v="260000008-29-3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Ciencia Política y Gobierno"/>
    <m/>
    <m/>
    <m/>
    <m/>
    <m/>
    <n v="9"/>
    <n v="7"/>
    <n v="9"/>
    <n v="9"/>
    <n v="10"/>
    <n v="6"/>
    <n v="6"/>
    <s v="2024-1"/>
    <n v="10"/>
    <n v="4"/>
    <n v="6"/>
    <n v="44.333333333333336"/>
    <n v="62"/>
    <n v="30"/>
    <n v="11.979148550710939"/>
    <n v="20"/>
    <n v="5"/>
    <n v="0.25"/>
    <n v="1"/>
    <n v="9"/>
    <n v="0.1111111111111111"/>
    <n v="1"/>
    <n v="0"/>
    <n v="0"/>
    <n v="0"/>
    <n v="0"/>
    <n v="0"/>
    <n v="0"/>
  </r>
  <r>
    <s v="Universidad Peruana Cayetano HerediaDoctorado en Ciencias De La Vida"/>
    <s v="260000014-208-5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1. Ciencias Naturales"/>
    <s v="Doctorado en Ciencias De La Vida"/>
    <n v="2018"/>
    <m/>
    <n v="14"/>
    <n v="11"/>
    <m/>
    <m/>
    <m/>
    <m/>
    <m/>
    <n v="4"/>
    <n v="4"/>
    <m/>
    <s v="2024-1"/>
    <n v="4"/>
    <n v="2"/>
    <n v="2"/>
    <n v="44.5"/>
    <n v="66"/>
    <n v="33"/>
    <n v="14.708274315273473"/>
    <n v="3"/>
    <n v="3"/>
    <n v="1"/>
    <n v="0"/>
    <n v="4"/>
    <n v="0"/>
    <m/>
    <m/>
    <m/>
    <m/>
    <m/>
    <m/>
    <m/>
  </r>
  <r>
    <s v="Universidad Nacional Mayor de San MarcosCiencias Administrativas"/>
    <s v="160000001-36-4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Ciencias Administrativas"/>
    <m/>
    <n v="45"/>
    <n v="45"/>
    <n v="58"/>
    <n v="58"/>
    <m/>
    <n v="59"/>
    <n v="33"/>
    <m/>
    <m/>
    <n v="47"/>
    <n v="31"/>
    <s v="2024-2"/>
    <n v="94"/>
    <n v="24"/>
    <n v="70"/>
    <n v="45.06666666666667"/>
    <n v="66"/>
    <n v="66"/>
    <n v="30"/>
    <n v="16"/>
    <n v="16"/>
    <n v="1"/>
    <n v="4"/>
    <n v="88"/>
    <n v="4.5454545454545456E-2"/>
    <n v="0"/>
    <n v="22"/>
    <n v="0"/>
    <n v="16"/>
    <n v="0"/>
    <n v="3"/>
    <n v="14"/>
  </r>
  <r>
    <s v="Universidad Nacional Agraria La MolinaRecursos Hídricos"/>
    <s v="160000007-44-5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1. Ciencias Naturales"/>
    <s v="Recursos Hídricos"/>
    <m/>
    <m/>
    <n v="33"/>
    <n v="41"/>
    <n v="32"/>
    <n v="32"/>
    <n v="28"/>
    <n v="29"/>
    <n v="29"/>
    <n v="37"/>
    <n v="44"/>
    <n v="39"/>
    <s v="2024-1"/>
    <n v="37"/>
    <n v="7"/>
    <n v="30"/>
    <n v="45.189189189189186"/>
    <n v="65"/>
    <n v="29"/>
    <n v="10.270880731027457"/>
    <n v="17"/>
    <n v="15"/>
    <n v="0.88235294117647056"/>
    <n v="6"/>
    <n v="31"/>
    <n v="0.19354838709677419"/>
    <m/>
    <m/>
    <m/>
    <m/>
    <m/>
    <m/>
    <m/>
  </r>
  <r>
    <s v="Universidad Nacional Mayor de San MarcosCiencias de la Salud"/>
    <s v="160000001-44-9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3. Ciencias Médicas y de la Salud"/>
    <s v="Ciencias de la Salud"/>
    <n v="2023"/>
    <n v="33"/>
    <n v="25"/>
    <n v="27"/>
    <n v="32"/>
    <m/>
    <n v="26"/>
    <n v="26"/>
    <m/>
    <m/>
    <n v="10"/>
    <n v="1"/>
    <s v="2024-2"/>
    <n v="20"/>
    <n v="10"/>
    <n v="10"/>
    <n v="45.2"/>
    <n v="54"/>
    <n v="54"/>
    <n v="34"/>
    <n v="40"/>
    <n v="40"/>
    <n v="1"/>
    <n v="0"/>
    <n v="20"/>
    <n v="0"/>
    <n v="0"/>
    <n v="0"/>
    <n v="0"/>
    <n v="11"/>
    <n v="0"/>
    <n v="6"/>
    <n v="9"/>
  </r>
  <r>
    <s v="Universidad Nacional Mayor de San MarcosIngeniería de Sistemas e Informática"/>
    <s v="160000001-191-6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1. Ciencias Naturales"/>
    <s v="Ingeniería de Sistemas e Informática"/>
    <m/>
    <n v="22"/>
    <n v="30"/>
    <n v="31"/>
    <n v="46"/>
    <m/>
    <n v="67"/>
    <n v="45"/>
    <m/>
    <m/>
    <n v="64"/>
    <n v="50"/>
    <s v="2024-2"/>
    <n v="128"/>
    <n v="16"/>
    <n v="112"/>
    <n v="45.265625"/>
    <n v="67"/>
    <n v="67"/>
    <n v="27"/>
    <n v="40"/>
    <n v="40"/>
    <n v="1"/>
    <n v="12"/>
    <n v="116"/>
    <n v="0.10344827586206896"/>
    <n v="1"/>
    <n v="2"/>
    <n v="5"/>
    <n v="7"/>
    <n v="0"/>
    <n v="1"/>
    <n v="16"/>
  </r>
  <r>
    <s v="Universidad Peruana Cayetano HerediaDoctorado en Salud Pública"/>
    <s v="260000014-213-0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5. Ciencias Sociales"/>
    <s v="Doctorado en Salud Pública"/>
    <m/>
    <m/>
    <n v="12"/>
    <n v="5"/>
    <m/>
    <m/>
    <m/>
    <m/>
    <m/>
    <n v="3"/>
    <m/>
    <m/>
    <s v="2024-1"/>
    <n v="3"/>
    <n v="1"/>
    <n v="2"/>
    <n v="45.333333333333336"/>
    <n v="50"/>
    <n v="40"/>
    <n v="5.0332229568471814"/>
    <n v="6"/>
    <n v="6"/>
    <n v="1"/>
    <n v="0"/>
    <n v="3"/>
    <n v="0"/>
    <m/>
    <m/>
    <m/>
    <m/>
    <m/>
    <m/>
    <m/>
  </r>
  <r>
    <s v="Universidad Nacional Mayor de San MarcosPsicología"/>
    <s v="160000001-421-3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Psicología"/>
    <m/>
    <n v="34"/>
    <n v="32"/>
    <n v="37"/>
    <n v="34"/>
    <m/>
    <n v="41"/>
    <n v="27"/>
    <m/>
    <m/>
    <n v="23"/>
    <n v="14"/>
    <s v="2024-2"/>
    <n v="46"/>
    <n v="32"/>
    <n v="14"/>
    <n v="45.434782608695649"/>
    <n v="69"/>
    <n v="69"/>
    <n v="30"/>
    <n v="13"/>
    <n v="13"/>
    <n v="1"/>
    <n v="0"/>
    <n v="46"/>
    <n v="0"/>
    <n v="0"/>
    <n v="14"/>
    <n v="0"/>
    <n v="8"/>
    <n v="0"/>
    <n v="1"/>
    <n v="14"/>
  </r>
  <r>
    <s v="Universidad Nacional Agraria La MolinaCiencia de Alimentos"/>
    <s v="160000007-10-7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2. Ingeniería y Tecnología"/>
    <s v="Ciencia de Alimentos"/>
    <s v="2015;2018"/>
    <m/>
    <n v="24"/>
    <n v="28"/>
    <n v="31"/>
    <n v="29"/>
    <n v="29"/>
    <n v="19"/>
    <n v="17"/>
    <n v="19"/>
    <n v="24"/>
    <n v="16"/>
    <s v="2024-1"/>
    <n v="19"/>
    <n v="9"/>
    <n v="10"/>
    <n v="45.555555555555557"/>
    <n v="69"/>
    <n v="35"/>
    <n v="9.2368967428411004"/>
    <n v="17"/>
    <n v="14"/>
    <n v="0.82352941176470584"/>
    <n v="1"/>
    <n v="18"/>
    <n v="5.5555555555555552E-2"/>
    <m/>
    <m/>
    <m/>
    <m/>
    <m/>
    <m/>
    <m/>
  </r>
  <r>
    <s v="Pontificia Universidad Católica del PerúSociología"/>
    <s v="260000008-254-3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Sociología"/>
    <m/>
    <m/>
    <m/>
    <m/>
    <m/>
    <n v="22"/>
    <n v="17"/>
    <n v="19"/>
    <n v="19"/>
    <n v="16"/>
    <n v="16"/>
    <n v="15"/>
    <s v="2024-1"/>
    <n v="16"/>
    <n v="7"/>
    <n v="9"/>
    <n v="45.6"/>
    <n v="65"/>
    <n v="35"/>
    <n v="9.2720778993399566"/>
    <n v="7"/>
    <n v="3"/>
    <n v="0.42857142857142855"/>
    <n v="2"/>
    <n v="14"/>
    <n v="0.14285714285714285"/>
    <n v="0"/>
    <n v="0"/>
    <n v="0"/>
    <n v="3"/>
    <n v="0"/>
    <n v="0"/>
    <n v="0"/>
  </r>
  <r>
    <s v="Pontificia Universidad Católica del PerúGestión Estratégica con Mención en Innovación y Gestión en Educación Superior"/>
    <s v="260000008-144-1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Gestión Estratégica con Mención en Innovación y Gestión en Educación Superior"/>
    <m/>
    <m/>
    <m/>
    <m/>
    <m/>
    <n v="24"/>
    <n v="20"/>
    <n v="24"/>
    <n v="18"/>
    <n v="20"/>
    <n v="15"/>
    <n v="17"/>
    <s v="2024-1"/>
    <n v="20"/>
    <n v="11"/>
    <n v="9"/>
    <n v="45.75"/>
    <n v="66"/>
    <n v="33"/>
    <n v="7.3975458234826981"/>
    <n v="13"/>
    <n v="6"/>
    <n v="0.46153846153846156"/>
    <n v="0"/>
    <n v="20"/>
    <n v="0"/>
    <n v="0"/>
    <n v="0"/>
    <n v="3"/>
    <n v="1"/>
    <n v="0"/>
    <n v="1"/>
    <n v="0"/>
  </r>
  <r>
    <s v="Universidad de San Martín de PorresRelaciones Públicas (Virtual: Semipresencial)"/>
    <s v="260000019-214-4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Relaciones Públicas (Virtual: Semipresencial)"/>
    <m/>
    <n v="4"/>
    <n v="13"/>
    <m/>
    <m/>
    <n v="5"/>
    <m/>
    <n v="9"/>
    <n v="3"/>
    <n v="5"/>
    <m/>
    <n v="3"/>
    <s v="2024-1"/>
    <n v="5"/>
    <n v="1"/>
    <n v="4"/>
    <n v="45.75"/>
    <n v="59"/>
    <n v="34"/>
    <n v="11.729592206608606"/>
    <m/>
    <m/>
    <m/>
    <n v="0"/>
    <n v="4"/>
    <n v="0"/>
    <n v="0"/>
    <n v="5"/>
    <n v="0"/>
    <n v="0"/>
    <n v="0"/>
    <n v="0"/>
    <n v="0"/>
  </r>
  <r>
    <s v="Pontificia Universidad Católica del PerúHistoria con Mención en Estudios Andinos"/>
    <s v="260000008-153-2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6. Humanidades"/>
    <s v="Historia con Mención en Estudios Andinos"/>
    <m/>
    <m/>
    <m/>
    <m/>
    <m/>
    <n v="5"/>
    <n v="6"/>
    <n v="8"/>
    <n v="8"/>
    <n v="10"/>
    <n v="8"/>
    <n v="7"/>
    <s v="2024-1"/>
    <n v="10"/>
    <n v="3"/>
    <n v="7"/>
    <n v="45.777777777777779"/>
    <n v="57"/>
    <n v="32"/>
    <n v="8.8568868370576102"/>
    <n v="1"/>
    <n v="1"/>
    <n v="1"/>
    <n v="1"/>
    <n v="9"/>
    <n v="0.1111111111111111"/>
    <m/>
    <m/>
    <m/>
    <m/>
    <m/>
    <m/>
    <m/>
  </r>
  <r>
    <s v="Pontificia Universidad Católica del PerúAntropología"/>
    <s v="260000008-11-3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Antropología"/>
    <m/>
    <m/>
    <m/>
    <m/>
    <m/>
    <n v="21"/>
    <n v="25"/>
    <n v="25"/>
    <n v="30"/>
    <n v="24"/>
    <n v="29"/>
    <n v="27"/>
    <s v="2024-1"/>
    <n v="24"/>
    <n v="8"/>
    <n v="16"/>
    <n v="45.791666666666664"/>
    <n v="64"/>
    <n v="28"/>
    <n v="9.9781464108872218"/>
    <n v="9"/>
    <n v="6"/>
    <n v="0.66666666666666663"/>
    <n v="0"/>
    <n v="24"/>
    <n v="0"/>
    <n v="0"/>
    <n v="1"/>
    <n v="0"/>
    <n v="1"/>
    <n v="0"/>
    <n v="0"/>
    <n v="2"/>
  </r>
  <r>
    <s v="Universidad Nacional Mayor de San MarcosCiencias Ambientales"/>
    <s v="160000001-37-5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1. Ciencias Naturales"/>
    <s v="Ciencias Ambientales"/>
    <m/>
    <n v="34"/>
    <n v="46"/>
    <n v="70"/>
    <n v="54"/>
    <m/>
    <n v="60"/>
    <n v="37"/>
    <m/>
    <m/>
    <n v="28"/>
    <n v="2"/>
    <s v="2024-2"/>
    <n v="56"/>
    <n v="18"/>
    <n v="38"/>
    <n v="46.25925925925926"/>
    <n v="70"/>
    <n v="70"/>
    <n v="33"/>
    <n v="7"/>
    <n v="6"/>
    <n v="0.8571428571428571"/>
    <n v="2"/>
    <n v="54"/>
    <n v="3.7037037037037035E-2"/>
    <n v="0"/>
    <n v="1"/>
    <n v="8"/>
    <n v="23"/>
    <n v="0"/>
    <n v="0"/>
    <n v="14"/>
  </r>
  <r>
    <s v="Universidad Nacional Mayor de San MarcosCiencias Contables y Empresariales"/>
    <s v="160000001-42-4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Ciencias Contables y Empresariales"/>
    <m/>
    <n v="12"/>
    <n v="12"/>
    <n v="26"/>
    <n v="29"/>
    <m/>
    <n v="33"/>
    <n v="32"/>
    <m/>
    <m/>
    <n v="29"/>
    <n v="34"/>
    <s v="2024-2"/>
    <n v="58"/>
    <n v="18"/>
    <n v="40"/>
    <n v="46.310344827586206"/>
    <n v="64"/>
    <n v="64"/>
    <n v="31"/>
    <n v="19"/>
    <n v="19"/>
    <n v="1"/>
    <n v="6"/>
    <n v="52"/>
    <n v="0.11538461538461539"/>
    <n v="0"/>
    <n v="6"/>
    <n v="0"/>
    <n v="12"/>
    <n v="0"/>
    <n v="8"/>
    <n v="7"/>
  </r>
  <r>
    <s v="Universidad de San Martín de PorresPeriodismo (Virtual: Semipresencial)"/>
    <s v="260000019-191-3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Periodismo (Virtual: Semipresencial)"/>
    <m/>
    <n v="3"/>
    <n v="14"/>
    <m/>
    <m/>
    <n v="11"/>
    <m/>
    <n v="6"/>
    <n v="6"/>
    <m/>
    <m/>
    <m/>
    <s v="2023-1"/>
    <n v="12"/>
    <n v="6"/>
    <n v="6"/>
    <n v="46.5"/>
    <n v="58"/>
    <n v="35"/>
    <n v="7.1541469220178993"/>
    <m/>
    <m/>
    <m/>
    <n v="0"/>
    <n v="12"/>
    <n v="0"/>
    <n v="0"/>
    <n v="2"/>
    <n v="0"/>
    <n v="0"/>
    <n v="0"/>
    <n v="0"/>
    <n v="0"/>
  </r>
  <r>
    <s v="Universidad Nacional Mayor de San MarcosEducación y Docencia Universitaria"/>
    <s v="160000001-113-1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Educación y Docencia Universitaria"/>
    <m/>
    <n v="70"/>
    <n v="92"/>
    <n v="111"/>
    <n v="126"/>
    <m/>
    <n v="117"/>
    <n v="109"/>
    <m/>
    <m/>
    <n v="94"/>
    <n v="63"/>
    <s v="2024-2"/>
    <n v="188"/>
    <n v="100"/>
    <n v="88"/>
    <n v="47.13978494623656"/>
    <n v="68"/>
    <n v="68"/>
    <n v="28"/>
    <n v="33"/>
    <n v="33"/>
    <n v="1"/>
    <n v="0"/>
    <n v="188"/>
    <n v="0"/>
    <n v="11"/>
    <n v="23"/>
    <n v="15"/>
    <n v="20"/>
    <n v="0"/>
    <n v="13"/>
    <n v="23"/>
  </r>
  <r>
    <s v="Universidad Nacional Mayor de San MarcosGestión Económica Global"/>
    <s v="160000001-172-3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Gestión Económica Global"/>
    <m/>
    <n v="26"/>
    <n v="11"/>
    <n v="36"/>
    <n v="29"/>
    <m/>
    <n v="21"/>
    <n v="17"/>
    <m/>
    <m/>
    <n v="7"/>
    <m/>
    <s v="2024-2"/>
    <n v="14"/>
    <n v="0"/>
    <n v="14"/>
    <n v="47.285714285714285"/>
    <n v="59"/>
    <n v="59"/>
    <n v="33"/>
    <m/>
    <m/>
    <m/>
    <n v="0"/>
    <n v="14"/>
    <n v="0"/>
    <n v="0"/>
    <n v="5"/>
    <n v="3"/>
    <n v="5"/>
    <n v="0"/>
    <n v="3"/>
    <n v="1"/>
  </r>
  <r>
    <s v="Universidad Peruana Cayetano HerediaDoctorado en Medicina"/>
    <s v="260000014-212-9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3. Ciencias Médicas y de la Salud"/>
    <s v="Doctorado en Medicina"/>
    <m/>
    <m/>
    <m/>
    <m/>
    <m/>
    <m/>
    <m/>
    <m/>
    <m/>
    <n v="6"/>
    <m/>
    <m/>
    <s v="2024-1"/>
    <n v="6"/>
    <n v="2"/>
    <n v="4"/>
    <n v="47.333333333333336"/>
    <n v="56"/>
    <n v="31"/>
    <n v="8.8919439194512915"/>
    <n v="7"/>
    <n v="7"/>
    <n v="1"/>
    <n v="0"/>
    <n v="6"/>
    <n v="0"/>
    <m/>
    <m/>
    <m/>
    <m/>
    <m/>
    <m/>
    <m/>
  </r>
  <r>
    <s v="Universidad Nacional Mayor de San MarcosHistoria del Arte"/>
    <s v="160000001-181-2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6. Humanidades"/>
    <s v="Historia del Arte"/>
    <m/>
    <n v="5"/>
    <n v="7"/>
    <n v="12"/>
    <n v="11"/>
    <m/>
    <n v="13"/>
    <n v="10"/>
    <m/>
    <m/>
    <n v="6"/>
    <n v="2"/>
    <s v="2024-2"/>
    <n v="12"/>
    <n v="8"/>
    <n v="4"/>
    <n v="47.333333333333336"/>
    <n v="56"/>
    <n v="56"/>
    <n v="40"/>
    <n v="4"/>
    <n v="4"/>
    <n v="1"/>
    <n v="0"/>
    <n v="12"/>
    <n v="0"/>
    <n v="0"/>
    <n v="2"/>
    <n v="1"/>
    <n v="6"/>
    <n v="0"/>
    <n v="1"/>
    <n v="3"/>
  </r>
  <r>
    <s v="Universidad de San Martín de PorresEducación"/>
    <s v="260000019-65-1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Educación"/>
    <m/>
    <n v="26"/>
    <n v="111"/>
    <m/>
    <m/>
    <n v="143"/>
    <m/>
    <n v="94"/>
    <n v="72"/>
    <n v="86"/>
    <m/>
    <n v="55"/>
    <s v="2024-1"/>
    <n v="86"/>
    <n v="48"/>
    <n v="38"/>
    <n v="47.488372093023258"/>
    <n v="67"/>
    <n v="29"/>
    <n v="10.112012874673624"/>
    <n v="58"/>
    <n v="58"/>
    <n v="1"/>
    <n v="3"/>
    <n v="83"/>
    <n v="3.614457831325301E-2"/>
    <n v="11"/>
    <n v="23"/>
    <n v="0"/>
    <n v="0"/>
    <n v="0"/>
    <n v="0"/>
    <n v="0"/>
  </r>
  <r>
    <s v="Universidad de San Martín de PorresCiencias Contables y Financieras"/>
    <s v="260000019-17-4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Ciencias Contables y Financieras"/>
    <m/>
    <n v="12"/>
    <n v="63"/>
    <m/>
    <m/>
    <n v="34"/>
    <m/>
    <n v="15"/>
    <n v="11"/>
    <n v="10"/>
    <m/>
    <n v="15"/>
    <s v="2024-1"/>
    <n v="10"/>
    <n v="5"/>
    <n v="5"/>
    <n v="47.8"/>
    <n v="62"/>
    <n v="33"/>
    <n v="10.271860158272743"/>
    <n v="10"/>
    <n v="10"/>
    <n v="1"/>
    <n v="0"/>
    <n v="10"/>
    <n v="0"/>
    <n v="9"/>
    <n v="11"/>
    <n v="0"/>
    <n v="0"/>
    <n v="0"/>
    <n v="0"/>
    <n v="0"/>
  </r>
  <r>
    <s v="Universidad Nacional Mayor de San MarcosLiteratura Peruana y Latinoamericana"/>
    <s v="160000001-223-2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6. Humanidades"/>
    <s v="Literatura Peruana y Latinoamericana"/>
    <m/>
    <n v="30"/>
    <n v="30"/>
    <n v="36"/>
    <n v="35"/>
    <m/>
    <n v="25"/>
    <n v="13"/>
    <m/>
    <m/>
    <n v="10"/>
    <n v="3"/>
    <s v="2024-2"/>
    <n v="20"/>
    <n v="6"/>
    <n v="14"/>
    <n v="47.9"/>
    <n v="59"/>
    <n v="59"/>
    <n v="34"/>
    <n v="7"/>
    <n v="7"/>
    <n v="1"/>
    <n v="2"/>
    <n v="18"/>
    <n v="0.1111111111111111"/>
    <n v="0"/>
    <n v="8"/>
    <n v="1"/>
    <n v="4"/>
    <n v="0"/>
    <n v="0"/>
    <n v="8"/>
  </r>
  <r>
    <s v="Universidad de San Martín de PorresTurismo (Virtual: Semipresencial)"/>
    <s v="260000019-223-0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Turismo (Virtual: Semipresencial)"/>
    <m/>
    <n v="10"/>
    <n v="45"/>
    <m/>
    <m/>
    <n v="46"/>
    <m/>
    <n v="26"/>
    <n v="17"/>
    <n v="16"/>
    <m/>
    <n v="1"/>
    <s v="2024-1"/>
    <n v="16"/>
    <n v="10"/>
    <n v="6"/>
    <n v="47.93333333333333"/>
    <n v="61"/>
    <n v="35"/>
    <n v="8.0397820392156962"/>
    <m/>
    <m/>
    <m/>
    <n v="0"/>
    <n v="16"/>
    <n v="0"/>
    <n v="8"/>
    <n v="6"/>
    <n v="0"/>
    <n v="0"/>
    <n v="0"/>
    <n v="0"/>
    <n v="0"/>
  </r>
  <r>
    <s v="Universidad de San Martín de PorresSalud Pública"/>
    <s v="260000019-218-0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Salud Pública"/>
    <m/>
    <m/>
    <n v="5"/>
    <m/>
    <m/>
    <m/>
    <m/>
    <m/>
    <m/>
    <m/>
    <m/>
    <n v="1"/>
    <s v="2025-1"/>
    <n v="2"/>
    <n v="2"/>
    <n v="0"/>
    <n v="48"/>
    <n v="48"/>
    <n v="48"/>
    <n v="0"/>
    <n v="9"/>
    <n v="9"/>
    <n v="1"/>
    <n v="0"/>
    <n v="2"/>
    <n v="0"/>
    <m/>
    <m/>
    <m/>
    <m/>
    <m/>
    <m/>
    <m/>
  </r>
  <r>
    <s v="Universidad de PiuraDoctorado en Educación"/>
    <s v="260000029-25-1"/>
    <n v="260000029"/>
    <s v="Universidad de Piura"/>
    <s v="UDEP"/>
    <s v="Universidad"/>
    <s v="Privado"/>
    <s v="Asociativa- Sin fines de lucro"/>
    <s v="LICENCIADA"/>
    <s v="2017 - 2025"/>
    <n v="8"/>
    <s v="PIURA"/>
    <s v=" PIURA"/>
    <s v="PIURA"/>
    <s v="COSTA"/>
    <x v="0"/>
    <s v="5. Ciencias Sociales"/>
    <s v="Doctorado en Educación"/>
    <m/>
    <n v="18"/>
    <m/>
    <m/>
    <m/>
    <m/>
    <m/>
    <m/>
    <m/>
    <m/>
    <m/>
    <m/>
    <s v="2020-1"/>
    <n v="36"/>
    <n v="22"/>
    <n v="14"/>
    <n v="48.166666666666664"/>
    <n v="64"/>
    <n v="35"/>
    <n v="7.5687326736854885"/>
    <m/>
    <m/>
    <m/>
    <n v="0"/>
    <n v="36"/>
    <n v="0"/>
    <m/>
    <m/>
    <m/>
    <m/>
    <m/>
    <m/>
    <m/>
  </r>
  <r>
    <s v="Pontificia Universidad Católica del PerúHISTORIA"/>
    <s v="260000008-80-2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6. Humanidades"/>
    <s v="Historia"/>
    <m/>
    <m/>
    <m/>
    <m/>
    <m/>
    <n v="20"/>
    <n v="21"/>
    <n v="23"/>
    <n v="20"/>
    <n v="21"/>
    <n v="22"/>
    <n v="21"/>
    <s v="2024-1"/>
    <n v="21"/>
    <n v="7"/>
    <n v="14"/>
    <n v="48.238095238095241"/>
    <n v="70"/>
    <n v="32"/>
    <n v="11.112626880736901"/>
    <n v="4"/>
    <n v="4"/>
    <n v="1"/>
    <n v="0"/>
    <n v="20"/>
    <n v="0"/>
    <n v="0"/>
    <n v="0"/>
    <n v="3"/>
    <n v="0"/>
    <n v="0"/>
    <n v="0"/>
    <n v="0"/>
  </r>
  <r>
    <s v="Universidad Peruana Cayetano HerediaDoctorado en Educación"/>
    <s v="260000014-316-1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5. Ciencias Sociales"/>
    <s v="Doctorado en Educación"/>
    <m/>
    <m/>
    <m/>
    <m/>
    <m/>
    <m/>
    <m/>
    <n v="13"/>
    <n v="18"/>
    <n v="41"/>
    <n v="38"/>
    <m/>
    <s v="2024-1"/>
    <n v="41"/>
    <n v="19"/>
    <n v="22"/>
    <n v="48.31707317073171"/>
    <n v="69"/>
    <n v="28"/>
    <n v="9.5902007914074598"/>
    <n v="19"/>
    <n v="19"/>
    <n v="1"/>
    <n v="2"/>
    <n v="39"/>
    <n v="5.128205128205128E-2"/>
    <m/>
    <m/>
    <m/>
    <m/>
    <m/>
    <m/>
    <m/>
  </r>
  <r>
    <s v="Universidad de PiuraDoctorado en Humanidades con Mención en Estudios Sobre Cultura"/>
    <s v="260000029-27-3"/>
    <n v="260000029"/>
    <s v="Universidad de Piura"/>
    <s v="UDEP"/>
    <s v="Universidad"/>
    <s v="Privado"/>
    <s v="Asociativa- Sin fines de lucro"/>
    <s v="LICENCIADA"/>
    <s v="2017 - 2025"/>
    <n v="8"/>
    <s v="PIURA"/>
    <s v=" PIURA"/>
    <s v="PIURA"/>
    <s v="COSTA"/>
    <x v="0"/>
    <s v="5. Ciencias Sociales"/>
    <s v="Doctorado en Humanidades con Mención en Estudios Sobre Cultura"/>
    <m/>
    <n v="85"/>
    <m/>
    <m/>
    <n v="34"/>
    <m/>
    <m/>
    <n v="24"/>
    <m/>
    <m/>
    <m/>
    <m/>
    <s v="2023-1"/>
    <n v="48"/>
    <n v="12"/>
    <n v="36"/>
    <n v="48.375"/>
    <n v="70"/>
    <n v="30"/>
    <n v="9.6923417893562807"/>
    <m/>
    <m/>
    <m/>
    <n v="2"/>
    <n v="46"/>
    <n v="4.3478260869565216E-2"/>
    <n v="0"/>
    <n v="13"/>
    <n v="0"/>
    <n v="0"/>
    <n v="0"/>
    <n v="0"/>
    <n v="0"/>
  </r>
  <r>
    <s v="Universidad Nacional Mayor de San MarcosMatemática Pura"/>
    <s v="160000001-370-5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1. Ciencias Naturales"/>
    <s v="Matemática Pura"/>
    <m/>
    <n v="18"/>
    <n v="17"/>
    <n v="10"/>
    <n v="7"/>
    <m/>
    <n v="12"/>
    <n v="9"/>
    <m/>
    <m/>
    <n v="12"/>
    <n v="8"/>
    <s v="2024-2"/>
    <n v="24"/>
    <n v="2"/>
    <n v="22"/>
    <n v="48.454545454545453"/>
    <n v="61"/>
    <n v="61"/>
    <n v="36"/>
    <n v="3"/>
    <n v="3"/>
    <n v="1"/>
    <n v="0"/>
    <n v="24"/>
    <n v="0"/>
    <n v="1"/>
    <n v="5"/>
    <n v="1"/>
    <n v="0"/>
    <n v="0"/>
    <n v="0"/>
    <n v="3"/>
  </r>
  <r>
    <s v="Universidad Nacional Mayor de San MarcosMedicina"/>
    <s v="160000001-372-9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3. Ciencias Médicas y de la Salud"/>
    <s v="Medicina"/>
    <m/>
    <n v="11"/>
    <n v="20"/>
    <n v="27"/>
    <n v="27"/>
    <m/>
    <n v="21"/>
    <n v="22"/>
    <m/>
    <m/>
    <n v="17"/>
    <n v="15"/>
    <s v="2024-2"/>
    <n v="34"/>
    <n v="10"/>
    <n v="24"/>
    <n v="48.470588235294116"/>
    <n v="64"/>
    <n v="64"/>
    <n v="34"/>
    <n v="13"/>
    <n v="13"/>
    <n v="1"/>
    <n v="0"/>
    <n v="34"/>
    <n v="0"/>
    <n v="0"/>
    <n v="0"/>
    <n v="6"/>
    <n v="7"/>
    <n v="0"/>
    <n v="0"/>
    <n v="6"/>
  </r>
  <r>
    <s v="Universidad de San Martín de PorresRelaciones Públicas"/>
    <s v="260000019-410-4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Relaciones Públicas"/>
    <m/>
    <m/>
    <m/>
    <m/>
    <m/>
    <m/>
    <m/>
    <m/>
    <m/>
    <n v="9"/>
    <m/>
    <m/>
    <s v="2024-1"/>
    <n v="9"/>
    <n v="4"/>
    <n v="5"/>
    <n v="48.555555555555557"/>
    <n v="63"/>
    <n v="31"/>
    <n v="11.948965552623283"/>
    <n v="11"/>
    <n v="11"/>
    <n v="1"/>
    <n v="0"/>
    <n v="9"/>
    <n v="0"/>
    <m/>
    <m/>
    <m/>
    <m/>
    <m/>
    <m/>
    <m/>
  </r>
  <r>
    <s v="Pontificia Universidad Católica del PerúCiencias de la Educación"/>
    <s v="260000008-36-1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Ciencias de la Educación"/>
    <m/>
    <m/>
    <m/>
    <m/>
    <m/>
    <n v="23"/>
    <n v="24"/>
    <n v="29"/>
    <n v="26"/>
    <n v="22"/>
    <n v="28"/>
    <n v="30"/>
    <s v="2024-1"/>
    <n v="22"/>
    <n v="16"/>
    <n v="6"/>
    <n v="48.80952380952381"/>
    <n v="66"/>
    <n v="35"/>
    <n v="9.8975706495030682"/>
    <m/>
    <m/>
    <m/>
    <n v="0"/>
    <n v="21"/>
    <n v="0"/>
    <m/>
    <m/>
    <m/>
    <m/>
    <m/>
    <m/>
    <m/>
  </r>
  <r>
    <s v="Universidad Nacional Mayor de San MarcosIngeniería Industrial"/>
    <s v="160000001-203-7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2. Ingeniería y Tecnología"/>
    <s v="Ingeniería Industrial"/>
    <m/>
    <n v="41"/>
    <n v="36"/>
    <n v="32"/>
    <n v="34"/>
    <m/>
    <n v="35"/>
    <m/>
    <m/>
    <m/>
    <n v="27"/>
    <n v="10"/>
    <s v="2024-2"/>
    <n v="54"/>
    <n v="14"/>
    <n v="40"/>
    <n v="49"/>
    <n v="68"/>
    <n v="68"/>
    <n v="29"/>
    <m/>
    <m/>
    <m/>
    <n v="4"/>
    <n v="50"/>
    <n v="0.08"/>
    <n v="6"/>
    <n v="10"/>
    <n v="5"/>
    <n v="5"/>
    <n v="0"/>
    <n v="4"/>
    <n v="3"/>
  </r>
  <r>
    <s v="Universidad Nacional Mayor de San MarcosPolítica Fiscal y Sistema Tributario"/>
    <s v="160000001-411-4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Política Fiscal y Sistema Tributario"/>
    <m/>
    <n v="2"/>
    <n v="2"/>
    <n v="10"/>
    <n v="12"/>
    <m/>
    <n v="15"/>
    <n v="16"/>
    <m/>
    <m/>
    <n v="14"/>
    <n v="19"/>
    <s v="2024-2"/>
    <n v="28"/>
    <n v="8"/>
    <n v="20"/>
    <n v="49"/>
    <n v="67"/>
    <n v="67"/>
    <n v="34"/>
    <n v="23"/>
    <n v="23"/>
    <n v="1"/>
    <n v="0"/>
    <n v="28"/>
    <n v="0"/>
    <n v="0"/>
    <n v="0"/>
    <n v="0"/>
    <n v="6"/>
    <n v="0"/>
    <n v="6"/>
    <n v="3"/>
  </r>
  <r>
    <s v="Pontificia Universidad Católica del PerúArqueología con Mención en Estudios Andinos"/>
    <s v="260000008-19-2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6. Humanidades"/>
    <s v="Arqueología con Mención en Estudios Andinos"/>
    <m/>
    <m/>
    <m/>
    <m/>
    <m/>
    <n v="7"/>
    <n v="4"/>
    <n v="7"/>
    <n v="4"/>
    <n v="6"/>
    <n v="6"/>
    <n v="12"/>
    <s v="2024-1"/>
    <n v="6"/>
    <n v="5"/>
    <n v="1"/>
    <n v="49"/>
    <n v="56"/>
    <n v="38"/>
    <n v="7.8230428862431785"/>
    <n v="3"/>
    <n v="3"/>
    <n v="1"/>
    <n v="2"/>
    <n v="4"/>
    <n v="0.5"/>
    <m/>
    <m/>
    <m/>
    <m/>
    <m/>
    <m/>
    <m/>
  </r>
  <r>
    <s v="Universidad Nacional Agraria La MolinaAgricultura Sustentable"/>
    <s v="160000007-3-8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4. Ciencias Agrícolas"/>
    <s v="Agricultura Sustentable"/>
    <m/>
    <m/>
    <n v="37"/>
    <n v="66"/>
    <n v="39"/>
    <n v="49"/>
    <n v="36"/>
    <n v="33"/>
    <n v="39"/>
    <n v="38"/>
    <n v="27"/>
    <n v="33"/>
    <s v="2024-1"/>
    <n v="38"/>
    <n v="11"/>
    <n v="27"/>
    <n v="49.39473684210526"/>
    <n v="68"/>
    <n v="30"/>
    <n v="10.156982616644687"/>
    <n v="11"/>
    <n v="8"/>
    <n v="0.72727272727272729"/>
    <n v="5"/>
    <n v="33"/>
    <n v="0.15151515151515152"/>
    <m/>
    <m/>
    <m/>
    <m/>
    <m/>
    <m/>
    <m/>
  </r>
  <r>
    <s v="Universidad Nacional Mayor de San MarcosCiencias Sociales"/>
    <s v="160000001-47-3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Ciencias Sociales"/>
    <m/>
    <n v="19"/>
    <n v="25"/>
    <n v="28"/>
    <n v="24"/>
    <m/>
    <n v="15"/>
    <n v="6"/>
    <m/>
    <m/>
    <n v="20"/>
    <n v="15"/>
    <s v="2024-2"/>
    <n v="40"/>
    <n v="14"/>
    <n v="26"/>
    <n v="49.444444444444443"/>
    <n v="69"/>
    <n v="69"/>
    <n v="38"/>
    <n v="5"/>
    <n v="5"/>
    <n v="1"/>
    <n v="0"/>
    <n v="40"/>
    <n v="0"/>
    <n v="0"/>
    <n v="1"/>
    <n v="5"/>
    <n v="2"/>
    <n v="0"/>
    <n v="0"/>
    <n v="3"/>
  </r>
  <r>
    <s v="Universidad Nacional de IngenieríaDoctorado en Ciencias e Ingeniería Ambientales con mención en Desarrollo Sostenible"/>
    <s v="160000006-199-5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1. Ciencias Naturales"/>
    <s v="Doctorado en Ciencias e Ingeniería Ambientales con mención en Desarrollo Sostenible"/>
    <m/>
    <n v="7"/>
    <m/>
    <m/>
    <m/>
    <m/>
    <m/>
    <m/>
    <m/>
    <m/>
    <m/>
    <m/>
    <s v="2020-1"/>
    <n v="14"/>
    <n v="4"/>
    <n v="10"/>
    <n v="50"/>
    <n v="69"/>
    <n v="32"/>
    <n v="12.649110640673518"/>
    <n v="7"/>
    <n v="7"/>
    <n v="1"/>
    <n v="0"/>
    <n v="14"/>
    <n v="0"/>
    <m/>
    <m/>
    <m/>
    <m/>
    <m/>
    <m/>
    <m/>
  </r>
  <r>
    <s v="Universidad Nacional Mayor de San MarcosCiencias Químicas"/>
    <s v="160000001-46-5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1. Ciencias Naturales"/>
    <s v="Ciencias Químicas"/>
    <m/>
    <n v="1"/>
    <n v="1"/>
    <n v="1"/>
    <n v="1"/>
    <m/>
    <n v="3"/>
    <n v="2"/>
    <m/>
    <m/>
    <n v="6"/>
    <m/>
    <s v="2024-2"/>
    <n v="12"/>
    <n v="4"/>
    <n v="8"/>
    <n v="50"/>
    <n v="66"/>
    <n v="66"/>
    <n v="33"/>
    <m/>
    <m/>
    <m/>
    <n v="2"/>
    <n v="10"/>
    <n v="0.2"/>
    <n v="0"/>
    <n v="1"/>
    <n v="0"/>
    <n v="0"/>
    <n v="0"/>
    <n v="0"/>
    <n v="2"/>
  </r>
  <r>
    <s v="Pontificia Universidad Católica del PerúAntropología con Mención en Estudios Andinos"/>
    <s v="260000008-13-3"/>
    <n v="260000008"/>
    <s v="Pontificia Universidad Católica del Perú"/>
    <s v="PUCP"/>
    <s v="Universidad"/>
    <s v="Privado"/>
    <s v="Asociativa- Sin fines de lucro"/>
    <s v="LICENCIADA"/>
    <s v="2016 - 2026"/>
    <n v="10"/>
    <s v="SAN MIGUEL"/>
    <s v=" LIMA"/>
    <s v="LIMA"/>
    <s v="LIMA"/>
    <x v="0"/>
    <s v="5. Ciencias Sociales"/>
    <s v="Antropología con Mención en Estudios Andinos"/>
    <m/>
    <m/>
    <m/>
    <m/>
    <m/>
    <n v="5"/>
    <n v="5"/>
    <n v="4"/>
    <n v="5"/>
    <n v="4"/>
    <n v="3"/>
    <n v="4"/>
    <s v="2024-1"/>
    <n v="4"/>
    <n v="1"/>
    <n v="3"/>
    <n v="50"/>
    <n v="54"/>
    <n v="48"/>
    <n v="2.8284271247461903"/>
    <m/>
    <m/>
    <m/>
    <n v="1"/>
    <n v="3"/>
    <n v="0.33333333333333331"/>
    <m/>
    <n v="1"/>
    <m/>
    <n v="1"/>
    <m/>
    <m/>
    <n v="2"/>
  </r>
  <r>
    <s v="Universidad Nacional Mayor de San MarcosFarmacia y Bioquímica"/>
    <s v="160000001-145-9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3. Ciencias Médicas y de la Salud"/>
    <s v="Farmacia y Bioquímica"/>
    <m/>
    <n v="19"/>
    <n v="18"/>
    <n v="22"/>
    <n v="20"/>
    <m/>
    <n v="17"/>
    <n v="5"/>
    <m/>
    <m/>
    <n v="12"/>
    <n v="2"/>
    <s v="2024-2"/>
    <n v="24"/>
    <n v="10"/>
    <n v="14"/>
    <n v="50.083333333333336"/>
    <n v="66"/>
    <n v="66"/>
    <n v="27"/>
    <m/>
    <m/>
    <m/>
    <n v="0"/>
    <n v="24"/>
    <n v="0"/>
    <n v="0"/>
    <n v="11"/>
    <n v="0"/>
    <n v="6"/>
    <n v="0"/>
    <n v="0"/>
    <n v="3"/>
  </r>
  <r>
    <s v="Universidad de San Martín de PorresMedicina"/>
    <s v="260000019-141-9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3. Ciencias Médicas y de la Salud"/>
    <s v="Medicina"/>
    <m/>
    <m/>
    <n v="6"/>
    <m/>
    <m/>
    <m/>
    <m/>
    <m/>
    <m/>
    <n v="5"/>
    <m/>
    <n v="4"/>
    <s v="2024-1"/>
    <n v="5"/>
    <n v="1"/>
    <n v="4"/>
    <n v="50.2"/>
    <n v="53"/>
    <n v="45"/>
    <n v="3.5637059362410666"/>
    <n v="9"/>
    <n v="9"/>
    <n v="1"/>
    <n v="0"/>
    <n v="5"/>
    <n v="0"/>
    <m/>
    <m/>
    <m/>
    <m/>
    <m/>
    <m/>
    <m/>
  </r>
  <r>
    <s v="Universidad Nacional Mayor de San MarcosDoctorado en Ingeniería Industrial"/>
    <s v="160000001-759-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2. Ingeniería y Tecnología"/>
    <s v="Doctorado en Ingeniería Industrial"/>
    <m/>
    <m/>
    <m/>
    <m/>
    <m/>
    <m/>
    <m/>
    <m/>
    <m/>
    <m/>
    <n v="4"/>
    <n v="5"/>
    <s v="2024-2"/>
    <n v="8"/>
    <n v="2"/>
    <n v="6"/>
    <n v="51.5"/>
    <n v="58"/>
    <n v="58"/>
    <n v="41"/>
    <n v="19"/>
    <n v="19"/>
    <n v="1"/>
    <n v="0"/>
    <n v="8"/>
    <n v="0"/>
    <m/>
    <m/>
    <m/>
    <m/>
    <m/>
    <m/>
    <m/>
  </r>
  <r>
    <s v="Universidad Nacional de IngenieríaDoctorado en Ciencias e Ingeniería Ambientales con mención en Seguridad Industrial y Salud en el Trabajo"/>
    <s v="160000006-201-5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1. Ciencias Naturales"/>
    <s v="Doctorado en Ciencias e Ingeniería Ambientales con mención en Seguridad Industrial y Salud en el Trabajo"/>
    <m/>
    <n v="7"/>
    <m/>
    <m/>
    <m/>
    <m/>
    <m/>
    <m/>
    <m/>
    <m/>
    <m/>
    <m/>
    <s v="2020-1"/>
    <n v="14"/>
    <n v="6"/>
    <n v="8"/>
    <n v="51.5"/>
    <n v="57"/>
    <n v="41"/>
    <n v="5.2136185305235161"/>
    <n v="3"/>
    <n v="3"/>
    <n v="1"/>
    <n v="0"/>
    <n v="14"/>
    <n v="0"/>
    <m/>
    <m/>
    <m/>
    <m/>
    <m/>
    <m/>
    <m/>
  </r>
  <r>
    <s v="Universidad Nacional Mayor de San MarcosNeurociencias"/>
    <s v="160000001-390-9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3. Ciencias Médicas y de la Salud"/>
    <s v="Neurociencias"/>
    <m/>
    <n v="20"/>
    <n v="18"/>
    <n v="28"/>
    <n v="24"/>
    <m/>
    <n v="17"/>
    <n v="5"/>
    <m/>
    <m/>
    <n v="6"/>
    <n v="4"/>
    <s v="2024-2"/>
    <n v="12"/>
    <n v="8"/>
    <n v="4"/>
    <n v="51.6"/>
    <n v="57"/>
    <n v="57"/>
    <n v="45"/>
    <m/>
    <m/>
    <m/>
    <n v="0"/>
    <n v="10"/>
    <n v="0"/>
    <n v="0"/>
    <n v="13"/>
    <n v="0"/>
    <n v="4"/>
    <n v="0"/>
    <n v="0"/>
    <n v="0"/>
  </r>
  <r>
    <s v="Universidad Nacional Mayor de San MarcosFilosofía"/>
    <s v="160000001-148-2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6. Humanidades"/>
    <s v="Filosofía"/>
    <m/>
    <n v="14"/>
    <n v="16"/>
    <n v="26"/>
    <n v="21"/>
    <m/>
    <n v="23"/>
    <n v="23"/>
    <m/>
    <m/>
    <n v="19"/>
    <n v="8"/>
    <s v="2024-2"/>
    <n v="38"/>
    <n v="6"/>
    <n v="32"/>
    <n v="51.611111111111114"/>
    <n v="70"/>
    <n v="70"/>
    <n v="32"/>
    <n v="16"/>
    <n v="16"/>
    <n v="1"/>
    <n v="0"/>
    <n v="36"/>
    <n v="0"/>
    <n v="0"/>
    <n v="1"/>
    <n v="2"/>
    <n v="1"/>
    <n v="0"/>
    <n v="0"/>
    <n v="8"/>
  </r>
  <r>
    <s v="Universidad Nacional Mayor de San MarcosFísica"/>
    <s v="160000001-151-5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1. Ciencias Naturales"/>
    <s v="Física"/>
    <m/>
    <n v="12"/>
    <n v="18"/>
    <n v="16"/>
    <n v="19"/>
    <m/>
    <n v="13"/>
    <n v="12"/>
    <m/>
    <m/>
    <n v="4"/>
    <n v="1"/>
    <s v="2024-2"/>
    <n v="8"/>
    <n v="0"/>
    <n v="8"/>
    <n v="52.5"/>
    <n v="62"/>
    <n v="62"/>
    <n v="44"/>
    <n v="5"/>
    <n v="5"/>
    <n v="1"/>
    <n v="0"/>
    <n v="8"/>
    <n v="0"/>
    <n v="4"/>
    <n v="2"/>
    <n v="1"/>
    <n v="0"/>
    <n v="0"/>
    <n v="6"/>
    <n v="2"/>
  </r>
  <r>
    <s v="Universidad Nacional Mayor de San MarcosEstomatología"/>
    <s v="160000001-137-9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3. Ciencias Médicas y de la Salud"/>
    <s v="Estomatología"/>
    <m/>
    <n v="8"/>
    <n v="12"/>
    <n v="9"/>
    <n v="15"/>
    <m/>
    <n v="5"/>
    <n v="13"/>
    <m/>
    <m/>
    <n v="3"/>
    <m/>
    <s v="2024-2"/>
    <n v="6"/>
    <n v="0"/>
    <n v="6"/>
    <n v="52.666666666666664"/>
    <n v="58"/>
    <n v="58"/>
    <n v="46"/>
    <m/>
    <m/>
    <m/>
    <n v="0"/>
    <n v="6"/>
    <n v="0"/>
    <n v="1"/>
    <n v="0"/>
    <n v="6"/>
    <n v="7"/>
    <n v="0"/>
    <n v="0"/>
    <n v="2"/>
  </r>
  <r>
    <s v="Universidad Nacional Mayor de San MarcosDoctorado en Gerencia de Empresas"/>
    <s v="160000001-761-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Doctorado en Gerencia de Empresas"/>
    <m/>
    <m/>
    <m/>
    <m/>
    <m/>
    <m/>
    <m/>
    <m/>
    <m/>
    <m/>
    <n v="15"/>
    <n v="11"/>
    <s v="2024-2"/>
    <n v="30"/>
    <n v="4"/>
    <n v="26"/>
    <n v="53.571428571428569"/>
    <n v="68"/>
    <n v="68"/>
    <n v="35"/>
    <n v="21"/>
    <n v="21"/>
    <n v="1"/>
    <n v="2"/>
    <n v="26"/>
    <n v="7.6923076923076927E-2"/>
    <m/>
    <m/>
    <m/>
    <m/>
    <m/>
    <m/>
    <m/>
  </r>
  <r>
    <s v="Universidad Nacional Mayor de San MarcosGestión de Empresas"/>
    <s v="160000001-168-4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Gestión de Empresas"/>
    <m/>
    <n v="40"/>
    <n v="41"/>
    <n v="30"/>
    <n v="26"/>
    <m/>
    <n v="29"/>
    <m/>
    <m/>
    <m/>
    <n v="9"/>
    <n v="3"/>
    <s v="2024-2"/>
    <n v="18"/>
    <n v="8"/>
    <n v="10"/>
    <n v="54.666666666666664"/>
    <n v="62"/>
    <n v="62"/>
    <n v="46"/>
    <m/>
    <m/>
    <m/>
    <n v="0"/>
    <n v="18"/>
    <n v="0"/>
    <n v="1"/>
    <n v="6"/>
    <n v="2"/>
    <n v="4"/>
    <n v="0"/>
    <n v="1"/>
    <n v="6"/>
  </r>
  <r>
    <s v="Universidad Nacional Agraria La MolinaCiencia Animal"/>
    <s v="160000007-9-8"/>
    <n v="160000007"/>
    <s v="Universidad Nacional Agraria La Molina"/>
    <s v="UNALM"/>
    <s v="Universidad"/>
    <s v="Público"/>
    <s v="Pública"/>
    <s v="LICENCIADA"/>
    <s v="2017 - 2025"/>
    <n v="8"/>
    <s v="LA MOLINA"/>
    <s v=" LIMA"/>
    <s v="LIMA"/>
    <s v="LIMA"/>
    <x v="0"/>
    <s v="4. Ciencias Agrícolas"/>
    <s v="Ciencia Animal"/>
    <n v="2015"/>
    <m/>
    <n v="23"/>
    <n v="26"/>
    <n v="11"/>
    <n v="16"/>
    <n v="9"/>
    <n v="7"/>
    <n v="7"/>
    <n v="5"/>
    <n v="3"/>
    <n v="3"/>
    <s v="2024-1"/>
    <n v="5"/>
    <n v="1"/>
    <n v="4"/>
    <n v="56.2"/>
    <n v="67"/>
    <n v="49"/>
    <n v="8.9833178725902716"/>
    <n v="2"/>
    <m/>
    <n v="0"/>
    <n v="1"/>
    <n v="4"/>
    <n v="0.25"/>
    <m/>
    <m/>
    <m/>
    <m/>
    <m/>
    <m/>
    <m/>
  </r>
  <r>
    <s v="Universidad Nacional Mayor de San MarcosDoctorado en Comunicación, Periodismo y Medios Digitales"/>
    <s v="160000001-748-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5. Ciencias Sociales"/>
    <s v="Doctorado en Comunicación, Periodismo y Medios Digitales"/>
    <m/>
    <m/>
    <m/>
    <m/>
    <m/>
    <m/>
    <m/>
    <m/>
    <m/>
    <m/>
    <m/>
    <n v="1"/>
    <s v="2025-1"/>
    <n v="2"/>
    <n v="2"/>
    <n v="0"/>
    <n v="57"/>
    <n v="57"/>
    <n v="57"/>
    <n v="0"/>
    <n v="15"/>
    <n v="15"/>
    <n v="1"/>
    <n v="0"/>
    <n v="2"/>
    <n v="0"/>
    <m/>
    <m/>
    <m/>
    <m/>
    <m/>
    <m/>
    <m/>
  </r>
  <r>
    <s v="Universidad Nacional de IngenieríaDoctorado en Ingeniería de Sistemas"/>
    <s v="160000006-8-6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1. Ciencias Naturales"/>
    <s v="Doctorado en Ingeniería de Sistemas"/>
    <m/>
    <n v="6"/>
    <m/>
    <m/>
    <m/>
    <m/>
    <m/>
    <m/>
    <m/>
    <m/>
    <m/>
    <m/>
    <s v="2020-1"/>
    <n v="12"/>
    <n v="0"/>
    <n v="12"/>
    <n v="57.166666666666664"/>
    <n v="68"/>
    <n v="38"/>
    <n v="10.24103451213732"/>
    <n v="5"/>
    <n v="5"/>
    <n v="1"/>
    <n v="0"/>
    <n v="12"/>
    <n v="0"/>
    <m/>
    <m/>
    <m/>
    <m/>
    <m/>
    <m/>
    <m/>
  </r>
  <r>
    <s v="Universidad Nacional de IngenieríaDoctorado en Ciencias con Mención en Matemática"/>
    <s v="160000006-6-5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1. Ciencias Naturales"/>
    <s v="Doctorado en Ciencias con Mención en Matemática"/>
    <n v="2015"/>
    <m/>
    <m/>
    <m/>
    <m/>
    <m/>
    <m/>
    <m/>
    <m/>
    <m/>
    <n v="1"/>
    <m/>
    <s v="2024-2"/>
    <n v="2"/>
    <n v="0"/>
    <n v="2"/>
    <n v="61"/>
    <n v="61"/>
    <n v="61"/>
    <n v="61"/>
    <n v="1"/>
    <n v="1"/>
    <n v="1"/>
    <n v="0"/>
    <n v="2"/>
    <n v="0"/>
    <m/>
    <m/>
    <m/>
    <m/>
    <m/>
    <m/>
    <m/>
  </r>
  <r>
    <s v="Universidad Nacional Mayor de San MarcosIngeniería Química"/>
    <s v="160000001-209-5"/>
    <n v="160000001"/>
    <s v="Universidad Nacional Mayor de San Marcos"/>
    <s v="UNMSM"/>
    <s v="Universidad"/>
    <s v="Público"/>
    <s v="Pública"/>
    <s v="LICENCIADA"/>
    <s v="2018 - 2028"/>
    <n v="10"/>
    <s v="LIMA"/>
    <s v=" LIMA"/>
    <s v="LIMA"/>
    <s v="LIMA"/>
    <x v="0"/>
    <s v="1. Ciencias Naturales"/>
    <s v="Ingeniería Química"/>
    <n v="2018"/>
    <m/>
    <n v="10"/>
    <n v="10"/>
    <n v="7"/>
    <m/>
    <n v="1"/>
    <n v="1"/>
    <m/>
    <m/>
    <n v="1"/>
    <m/>
    <s v="2024-2"/>
    <n v="2"/>
    <n v="0"/>
    <n v="2"/>
    <n v="64"/>
    <n v="64"/>
    <n v="64"/>
    <n v="64"/>
    <m/>
    <m/>
    <m/>
    <n v="0"/>
    <n v="2"/>
    <n v="0"/>
    <n v="7"/>
    <n v="0"/>
    <n v="0"/>
    <n v="0"/>
    <n v="0"/>
    <n v="0"/>
    <n v="1"/>
  </r>
  <r>
    <s v="Universidad Peruana Cayetano HerediaDoctorado en Ciencias con Mención en Fisiología"/>
    <s v="260000014-205-9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3. Ciencias Médicas y de la Salud"/>
    <s v="Doctorado en Ciencias con Mención en Fisiología"/>
    <m/>
    <m/>
    <m/>
    <m/>
    <m/>
    <m/>
    <m/>
    <m/>
    <m/>
    <n v="1"/>
    <n v="1"/>
    <m/>
    <s v="2024-1"/>
    <n v="1"/>
    <n v="0"/>
    <n v="1"/>
    <n v="65"/>
    <n v="65"/>
    <n v="65"/>
    <n v="0"/>
    <m/>
    <m/>
    <m/>
    <n v="0"/>
    <n v="1"/>
    <n v="0"/>
    <m/>
    <m/>
    <m/>
    <m/>
    <m/>
    <m/>
    <m/>
  </r>
  <r>
    <s v="Universidad Nacional de la Amazonía PeruanaDoctorado en Ambiente y Desarrollo Sostenible"/>
    <s v="160000011-12-5"/>
    <n v="160000011"/>
    <s v="Universidad Nacional de la Amazonía Peruana"/>
    <s v="UNAP"/>
    <s v="Universidad"/>
    <s v="Público"/>
    <s v="Pública"/>
    <s v="LICENCIADA"/>
    <s v="2019 - 2027"/>
    <n v="8"/>
    <s v="SAN JUAN BAUTISTA"/>
    <s v=" MAYNAS"/>
    <s v="LORETO"/>
    <s v="SELVA"/>
    <x v="0"/>
    <s v="1. Ciencias Naturales"/>
    <s v="Doctorado en Ambiente y Desarrollo Sostenible"/>
    <m/>
    <m/>
    <m/>
    <m/>
    <m/>
    <m/>
    <m/>
    <m/>
    <m/>
    <m/>
    <m/>
    <m/>
    <m/>
    <m/>
    <m/>
    <m/>
    <m/>
    <m/>
    <m/>
    <m/>
    <n v="35"/>
    <n v="32"/>
    <n v="0.91428571428571426"/>
    <m/>
    <m/>
    <m/>
    <m/>
    <m/>
    <m/>
    <m/>
    <m/>
    <m/>
    <m/>
  </r>
  <r>
    <s v="Universidad Nacional de la Amazonía PeruanaDoctorado en Ciencias Ambientales"/>
    <s v="160000011-13-5"/>
    <n v="160000011"/>
    <s v="Universidad Nacional de la Amazonía Peruana"/>
    <s v="UNAP"/>
    <s v="Universidad"/>
    <s v="Público"/>
    <s v="Pública"/>
    <s v="LICENCIADA"/>
    <s v="2019 - 2027"/>
    <n v="8"/>
    <s v="SAN JUAN BAUTISTA"/>
    <s v=" MAYNAS"/>
    <s v="LORETO"/>
    <s v="SELVA"/>
    <x v="0"/>
    <s v="1. Ciencias Naturales"/>
    <s v="Doctorado en Ciencias Ambientales"/>
    <m/>
    <m/>
    <m/>
    <m/>
    <m/>
    <m/>
    <m/>
    <m/>
    <m/>
    <m/>
    <m/>
    <m/>
    <m/>
    <m/>
    <m/>
    <m/>
    <m/>
    <m/>
    <m/>
    <m/>
    <n v="19"/>
    <n v="20"/>
    <n v="1.0526315789473684"/>
    <m/>
    <m/>
    <m/>
    <m/>
    <m/>
    <m/>
    <m/>
    <m/>
    <m/>
    <m/>
  </r>
  <r>
    <s v="Universidad Nacional de IngenieríaDoctorado en Ciencias e Ingeniería Civil"/>
    <s v="160000006-205-7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2. Ingeniería y Tecnología"/>
    <s v="Doctorado en Ciencias e Ingeniería Civil"/>
    <m/>
    <m/>
    <m/>
    <m/>
    <m/>
    <m/>
    <m/>
    <m/>
    <m/>
    <m/>
    <m/>
    <m/>
    <m/>
    <m/>
    <m/>
    <m/>
    <m/>
    <m/>
    <m/>
    <m/>
    <n v="9"/>
    <n v="9"/>
    <n v="1"/>
    <m/>
    <m/>
    <m/>
    <m/>
    <m/>
    <m/>
    <m/>
    <m/>
    <m/>
    <m/>
  </r>
  <r>
    <s v="Universidad Nacional de IngenieríaDoctorado en Ciencias e Ingeniería Estadística"/>
    <s v="160000006-207-5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2. Ingeniería y Tecnología"/>
    <s v="Doctorado en Ciencias e Ingeniería Estadística"/>
    <m/>
    <m/>
    <m/>
    <m/>
    <m/>
    <m/>
    <m/>
    <m/>
    <m/>
    <m/>
    <m/>
    <m/>
    <m/>
    <m/>
    <m/>
    <m/>
    <m/>
    <m/>
    <m/>
    <m/>
    <n v="13"/>
    <n v="13"/>
    <n v="1"/>
    <m/>
    <m/>
    <m/>
    <m/>
    <m/>
    <m/>
    <m/>
    <m/>
    <m/>
    <m/>
  </r>
  <r>
    <s v="Universidad Nacional de la Amazonía PeruanaDoctorado en Ciencias Empresariales"/>
    <s v="160000011-15-4"/>
    <n v="160000011"/>
    <s v="Universidad Nacional de la Amazonía Peruana"/>
    <s v="UNAP"/>
    <s v="Universidad"/>
    <s v="Público"/>
    <s v="Pública"/>
    <s v="LICENCIADA"/>
    <s v="2019 - 2027"/>
    <n v="8"/>
    <s v="SAN JUAN BAUTISTA"/>
    <s v=" MAYNAS"/>
    <s v="LORETO"/>
    <s v="SELVA"/>
    <x v="0"/>
    <s v="5. Ciencias Sociales"/>
    <s v="Doctorado en Ciencias Empresariales"/>
    <m/>
    <m/>
    <m/>
    <m/>
    <m/>
    <m/>
    <m/>
    <m/>
    <m/>
    <m/>
    <m/>
    <m/>
    <m/>
    <m/>
    <m/>
    <m/>
    <m/>
    <m/>
    <m/>
    <m/>
    <n v="31"/>
    <n v="26"/>
    <n v="0.83870967741935487"/>
    <m/>
    <m/>
    <m/>
    <m/>
    <m/>
    <m/>
    <m/>
    <m/>
    <m/>
    <m/>
  </r>
  <r>
    <s v="Universidad Nacional de IngenieríaDoctorado en Ciencias en Arquitectura"/>
    <s v="160000006-204-7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2. Ingeniería y Tecnología"/>
    <s v="Doctorado en Ciencias en Arquitectura"/>
    <m/>
    <m/>
    <m/>
    <m/>
    <m/>
    <m/>
    <m/>
    <m/>
    <m/>
    <m/>
    <m/>
    <m/>
    <m/>
    <m/>
    <m/>
    <m/>
    <m/>
    <m/>
    <m/>
    <m/>
    <n v="10"/>
    <n v="10"/>
    <n v="1"/>
    <m/>
    <m/>
    <m/>
    <m/>
    <m/>
    <m/>
    <m/>
    <m/>
    <m/>
    <m/>
  </r>
  <r>
    <s v="Universidad Nacional de la Amazonía PeruanaDoctorado en Ciencias en Salud Pública"/>
    <s v="160000011-17-0"/>
    <n v="160000011"/>
    <s v="Universidad Nacional de la Amazonía Peruana"/>
    <s v="UNAP"/>
    <s v="Universidad"/>
    <s v="Público"/>
    <s v="Pública"/>
    <s v="LICENCIADA"/>
    <s v="2019 - 2027"/>
    <n v="8"/>
    <s v="SAN JUAN BAUTISTA"/>
    <s v=" MAYNAS"/>
    <s v="LORETO"/>
    <s v="SELVA"/>
    <x v="0"/>
    <s v="3. Ciencias Médicas y de la Salud"/>
    <s v="Doctorado en Ciencias en Salud Pública"/>
    <m/>
    <m/>
    <m/>
    <m/>
    <m/>
    <m/>
    <m/>
    <m/>
    <m/>
    <m/>
    <m/>
    <m/>
    <m/>
    <m/>
    <m/>
    <m/>
    <m/>
    <m/>
    <m/>
    <m/>
    <n v="21"/>
    <n v="19"/>
    <n v="0.90476190476190477"/>
    <m/>
    <m/>
    <m/>
    <m/>
    <m/>
    <m/>
    <m/>
    <m/>
    <m/>
    <m/>
  </r>
  <r>
    <s v="Universidad Nacional de la Amazonía PeruanaDoctorado en Derecho"/>
    <s v="160000011-18-4"/>
    <n v="160000011"/>
    <s v="Universidad Nacional de la Amazonía Peruana"/>
    <s v="UNAP"/>
    <s v="Universidad"/>
    <s v="Público"/>
    <s v="Pública"/>
    <s v="LICENCIADA"/>
    <s v="2019 - 2027"/>
    <n v="8"/>
    <s v="SAN JUAN BAUTISTA"/>
    <s v=" MAYNAS"/>
    <s v="LORETO"/>
    <s v="SELVA"/>
    <x v="0"/>
    <s v="5. Ciencias Sociales"/>
    <s v="Doctorado en Derecho"/>
    <m/>
    <m/>
    <m/>
    <m/>
    <m/>
    <m/>
    <m/>
    <m/>
    <m/>
    <m/>
    <m/>
    <m/>
    <m/>
    <m/>
    <m/>
    <m/>
    <m/>
    <m/>
    <m/>
    <m/>
    <n v="1"/>
    <m/>
    <n v="0"/>
    <m/>
    <m/>
    <m/>
    <m/>
    <m/>
    <m/>
    <m/>
    <m/>
    <m/>
    <m/>
  </r>
  <r>
    <s v="Universidad Científica del Sur S.A.C.Doctorado en Educación"/>
    <s v="260000068-213-"/>
    <n v="260000068"/>
    <s v="Universidad Científica del Sur S.A.C."/>
    <s v="UCSUR"/>
    <s v="Universidad"/>
    <s v="Privado"/>
    <s v="Societaria- Con fines de lucro"/>
    <s v="LICENCIADA"/>
    <s v="2018 - 2024"/>
    <n v="6"/>
    <s v="VILLA EL SALVADOR"/>
    <s v=" LIMA"/>
    <s v="LIMA"/>
    <s v="LIMA"/>
    <x v="0"/>
    <s v="5. Ciencias Sociales"/>
    <s v="Doctorado en Educación"/>
    <m/>
    <m/>
    <m/>
    <m/>
    <m/>
    <m/>
    <m/>
    <m/>
    <m/>
    <m/>
    <m/>
    <m/>
    <m/>
    <m/>
    <m/>
    <m/>
    <m/>
    <m/>
    <m/>
    <m/>
    <n v="29"/>
    <n v="29"/>
    <n v="1"/>
    <m/>
    <m/>
    <m/>
    <m/>
    <m/>
    <m/>
    <m/>
    <m/>
    <m/>
    <m/>
  </r>
  <r>
    <s v="Universidad Nacional de la Amazonía PeruanaDoctorado en Educación"/>
    <s v="160000011-19-1"/>
    <n v="160000011"/>
    <s v="Universidad Nacional de la Amazonía Peruana"/>
    <s v="UNAP"/>
    <s v="Universidad"/>
    <s v="Público"/>
    <s v="Pública"/>
    <s v="LICENCIADA"/>
    <s v="2019 - 2027"/>
    <n v="8"/>
    <s v="SAN JUAN BAUTISTA"/>
    <s v=" MAYNAS"/>
    <s v="LORETO"/>
    <s v="SELVA"/>
    <x v="0"/>
    <s v="5. Ciencias Sociales"/>
    <s v="Doctorado en Educación"/>
    <m/>
    <m/>
    <m/>
    <m/>
    <m/>
    <m/>
    <m/>
    <m/>
    <m/>
    <m/>
    <m/>
    <m/>
    <m/>
    <m/>
    <m/>
    <m/>
    <m/>
    <m/>
    <m/>
    <m/>
    <n v="4"/>
    <m/>
    <n v="0"/>
    <m/>
    <m/>
    <m/>
    <m/>
    <m/>
    <m/>
    <m/>
    <m/>
    <m/>
    <m/>
  </r>
  <r>
    <m/>
    <s v="260000014-353-"/>
    <n v="260000014"/>
    <s v="Universidad Peruana Cayetano Heredia"/>
    <s v="UPCH"/>
    <s v="Universidad"/>
    <s v="Privado"/>
    <s v="Asociativa- Sin fines de lucro"/>
    <s v="LICENCIADA"/>
    <s v="2016 - 2026"/>
    <n v="10"/>
    <s v="SAN MARTÍN DE PORRES"/>
    <s v=" LIMA"/>
    <s v="LIMA"/>
    <s v="LIMA"/>
    <x v="0"/>
    <s v="3. Ciencias Médicas y de la Salud"/>
    <s v="Doctorado en Enfermeria"/>
    <m/>
    <m/>
    <m/>
    <m/>
    <m/>
    <m/>
    <m/>
    <m/>
    <m/>
    <m/>
    <m/>
    <m/>
    <s v="2025-1"/>
    <m/>
    <m/>
    <m/>
    <m/>
    <m/>
    <m/>
    <m/>
    <n v="9"/>
    <n v="8"/>
    <n v="0.88888888888888884"/>
    <m/>
    <m/>
    <m/>
    <m/>
    <m/>
    <m/>
    <m/>
    <m/>
    <m/>
    <m/>
  </r>
  <r>
    <s v="Universidad Nacional de IngenieríaDoctorado en Gobierno y Políticas Públicas"/>
    <s v="160000006-202-3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5. Ciencias Sociales"/>
    <s v="Doctorado en Gobierno y Políticas Públicas"/>
    <m/>
    <m/>
    <m/>
    <m/>
    <m/>
    <m/>
    <m/>
    <m/>
    <m/>
    <m/>
    <m/>
    <m/>
    <m/>
    <m/>
    <m/>
    <m/>
    <m/>
    <m/>
    <m/>
    <m/>
    <n v="14"/>
    <n v="14"/>
    <n v="1"/>
    <m/>
    <m/>
    <m/>
    <m/>
    <m/>
    <m/>
    <m/>
    <m/>
    <m/>
    <m/>
  </r>
  <r>
    <s v="Universidad Nacional de la Amazonía PeruanaDoctorado en Ingeniería de Sistemas"/>
    <s v="160000011-20-6"/>
    <n v="160000011"/>
    <s v="Universidad Nacional de la Amazonía Peruana"/>
    <s v="UNAP"/>
    <s v="Universidad"/>
    <s v="Público"/>
    <s v="Pública"/>
    <s v="LICENCIADA"/>
    <s v="2019 - 2027"/>
    <n v="8"/>
    <s v="SAN JUAN BAUTISTA"/>
    <s v=" MAYNAS"/>
    <s v="LORETO"/>
    <s v="SELVA"/>
    <x v="0"/>
    <s v="2. Ingeniería y Tecnología"/>
    <s v="Doctorado en Ingeniería de Sistemas"/>
    <m/>
    <m/>
    <m/>
    <m/>
    <m/>
    <m/>
    <m/>
    <m/>
    <m/>
    <m/>
    <m/>
    <m/>
    <m/>
    <m/>
    <m/>
    <m/>
    <m/>
    <m/>
    <m/>
    <m/>
    <n v="1"/>
    <m/>
    <n v="0"/>
    <m/>
    <m/>
    <m/>
    <m/>
    <m/>
    <m/>
    <m/>
    <m/>
    <m/>
    <m/>
  </r>
  <r>
    <s v="Universidad Nacional de IngenieríaDoctorado en Ingeniería Industrial"/>
    <s v="160000006-9-7"/>
    <n v="160000006"/>
    <s v="Universidad Nacional de Ingeniería"/>
    <s v="UNI"/>
    <s v="Universidad"/>
    <s v="Público"/>
    <s v="Pública"/>
    <s v="LICENCIADA"/>
    <s v="2017 - 2027"/>
    <n v="10"/>
    <s v="RÍMAC"/>
    <s v=" LIMA"/>
    <s v="LIMA"/>
    <s v="LIMA"/>
    <x v="0"/>
    <s v="2. Ingeniería y Tecnología"/>
    <s v="Doctorado en Ingeniería Industrial"/>
    <m/>
    <m/>
    <m/>
    <m/>
    <m/>
    <m/>
    <m/>
    <m/>
    <m/>
    <m/>
    <m/>
    <m/>
    <m/>
    <m/>
    <m/>
    <m/>
    <m/>
    <m/>
    <m/>
    <m/>
    <n v="3"/>
    <n v="3"/>
    <n v="1"/>
    <m/>
    <m/>
    <m/>
    <m/>
    <m/>
    <m/>
    <m/>
    <m/>
    <m/>
    <m/>
  </r>
  <r>
    <s v="Universidad de San Martín de PorresTurismo"/>
    <s v="260000019-411-0"/>
    <n v="260000019"/>
    <s v="Universidad de San Martín de Porres"/>
    <s v="USMP"/>
    <s v="Universidad"/>
    <s v="Privado"/>
    <s v="Asociativa- Sin fines de lucro"/>
    <s v="LICENCIADA"/>
    <s v="2017 - 2023"/>
    <n v="6"/>
    <s v="SANTA ANITA"/>
    <s v=" LIMA"/>
    <s v="LIMA"/>
    <s v="LIMA"/>
    <x v="0"/>
    <s v="5. Ciencias Sociales"/>
    <s v="Turismo"/>
    <m/>
    <m/>
    <m/>
    <m/>
    <m/>
    <m/>
    <m/>
    <m/>
    <m/>
    <m/>
    <m/>
    <m/>
    <m/>
    <m/>
    <m/>
    <m/>
    <m/>
    <m/>
    <m/>
    <m/>
    <n v="16"/>
    <n v="15"/>
    <n v="0.9375"/>
    <m/>
    <m/>
    <m/>
    <m/>
    <m/>
    <m/>
    <m/>
    <m/>
    <m/>
    <m/>
  </r>
  <r>
    <s v="Universidad Nacional del SantaDoctorado en Ingeniería en Energía"/>
    <s v="160000042-18-7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2. Ingeniería y Tecnología"/>
    <s v="Doctorado en Ingeniería en Energía"/>
    <m/>
    <n v="1"/>
    <n v="3"/>
    <m/>
    <m/>
    <m/>
    <m/>
    <m/>
    <m/>
    <m/>
    <m/>
    <m/>
    <s v="2020-1"/>
    <n v="2"/>
    <n v="0"/>
    <n v="2"/>
    <n v="33"/>
    <n v="33"/>
    <n v="33"/>
    <n v="0"/>
    <m/>
    <m/>
    <m/>
    <n v="0"/>
    <n v="2"/>
    <n v="0"/>
    <m/>
    <m/>
    <m/>
    <m/>
    <m/>
    <m/>
    <m/>
  </r>
  <r>
    <s v="Universidad Nacional del SantaDoctorado en Psicología"/>
    <s v="160000042-23-3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5. Ciencias Sociales"/>
    <s v="Doctorado en Psicología"/>
    <m/>
    <n v="2"/>
    <n v="2"/>
    <m/>
    <m/>
    <m/>
    <m/>
    <m/>
    <m/>
    <m/>
    <m/>
    <m/>
    <s v="2020-1"/>
    <n v="4"/>
    <n v="2"/>
    <n v="2"/>
    <n v="35.5"/>
    <n v="43"/>
    <n v="28"/>
    <n v="8.6602540378443873"/>
    <m/>
    <m/>
    <m/>
    <n v="0"/>
    <n v="4"/>
    <n v="0"/>
    <m/>
    <m/>
    <m/>
    <m/>
    <m/>
    <m/>
    <m/>
  </r>
  <r>
    <s v="Universidad Nacional del SantaDoctorado en Ingeniería Química"/>
    <s v="160000042-20-5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1. Ciencias Naturales"/>
    <s v="Doctorado en Ingeniería Química"/>
    <m/>
    <n v="1"/>
    <n v="1"/>
    <m/>
    <m/>
    <m/>
    <m/>
    <m/>
    <m/>
    <m/>
    <m/>
    <m/>
    <s v="2020-1"/>
    <n v="2"/>
    <n v="0"/>
    <n v="2"/>
    <n v="36"/>
    <n v="36"/>
    <n v="36"/>
    <n v="0"/>
    <m/>
    <m/>
    <m/>
    <n v="0"/>
    <n v="2"/>
    <n v="0"/>
    <m/>
    <m/>
    <m/>
    <m/>
    <m/>
    <m/>
    <m/>
  </r>
  <r>
    <s v="Universidad de HuánucoDoctorado en Ciencias de la Salud"/>
    <s v="260000047-35-9"/>
    <n v="260000047"/>
    <s v="Universidad de Huánuco"/>
    <s v="UDH"/>
    <s v="Universidad"/>
    <s v="Privado"/>
    <s v="Asociativa- Sin fines de lucro"/>
    <s v="LICENCIADA"/>
    <s v="2019 - 2025"/>
    <n v="6"/>
    <s v="HUANUCO"/>
    <s v=" HUÁNUCO"/>
    <s v="HUÁNUCO"/>
    <s v="SIERRA"/>
    <x v="1"/>
    <s v="3. Ciencias Médicas y de la Salud"/>
    <s v="Doctorado en Ciencias de la Salud"/>
    <m/>
    <n v="12"/>
    <n v="37"/>
    <n v="40"/>
    <n v="41"/>
    <n v="49"/>
    <n v="36"/>
    <n v="34"/>
    <m/>
    <n v="4"/>
    <n v="3"/>
    <m/>
    <s v="2024-1"/>
    <n v="4"/>
    <n v="2"/>
    <n v="2"/>
    <n v="36.25"/>
    <n v="48"/>
    <n v="30"/>
    <n v="8.0983537421708949"/>
    <m/>
    <m/>
    <m/>
    <n v="0"/>
    <n v="4"/>
    <n v="0"/>
    <m/>
    <m/>
    <m/>
    <m/>
    <m/>
    <m/>
    <m/>
  </r>
  <r>
    <s v="Universidad Nacional Jorge Basadre GrohmannDoctorado en Epidemiología"/>
    <s v="160000032-21-0"/>
    <n v="160000032"/>
    <s v="Universidad Nacional Jorge Basadre Grohmann"/>
    <s v="UNJBG"/>
    <s v="Universidad"/>
    <s v="Público"/>
    <s v="Pública"/>
    <s v="LICENCIADA"/>
    <s v="2018 - 2024"/>
    <n v="6"/>
    <s v="TACNA"/>
    <s v=" TACNA"/>
    <s v="TACNA"/>
    <s v="COSTA"/>
    <x v="1"/>
    <s v="5. Ciencias Sociales"/>
    <s v="Doctorado en Epidemiología"/>
    <m/>
    <n v="29"/>
    <n v="28"/>
    <m/>
    <m/>
    <m/>
    <m/>
    <m/>
    <m/>
    <m/>
    <m/>
    <m/>
    <s v="2020-1"/>
    <n v="58"/>
    <n v="36"/>
    <n v="22"/>
    <n v="37.103448275862071"/>
    <n v="53"/>
    <n v="26"/>
    <n v="7.7203073640576809"/>
    <m/>
    <m/>
    <m/>
    <n v="0"/>
    <n v="58"/>
    <n v="0"/>
    <m/>
    <m/>
    <m/>
    <m/>
    <m/>
    <m/>
    <m/>
  </r>
  <r>
    <s v="Universidad Nacional del Centro del PerúDoctorado en Ciencias de la Salud y Salud Pública"/>
    <s v="160000010-15-0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5. Ciencias Sociales"/>
    <s v="Doctorado en Ciencias de la Salud y Salud Pública"/>
    <m/>
    <n v="48"/>
    <n v="56"/>
    <m/>
    <m/>
    <m/>
    <m/>
    <m/>
    <m/>
    <m/>
    <m/>
    <m/>
    <s v="2020-1"/>
    <n v="96"/>
    <n v="48"/>
    <n v="48"/>
    <n v="38"/>
    <n v="61"/>
    <n v="25"/>
    <n v="7.6832010872661938"/>
    <n v="12"/>
    <n v="12"/>
    <n v="1"/>
    <n v="0"/>
    <n v="96"/>
    <n v="0"/>
    <n v="0"/>
    <n v="16"/>
    <n v="0"/>
    <n v="0"/>
    <n v="0"/>
    <n v="0"/>
    <n v="0"/>
  </r>
  <r>
    <s v="Universidad Nacional del SantaDoctorado en Ingeniería Mecánica"/>
    <s v="160000042-19-7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2. Ingeniería y Tecnología"/>
    <s v="Doctorado en Ingeniería Mecánica"/>
    <m/>
    <m/>
    <n v="1"/>
    <m/>
    <m/>
    <m/>
    <m/>
    <m/>
    <m/>
    <m/>
    <m/>
    <m/>
    <s v="2020-2"/>
    <n v="2"/>
    <n v="0"/>
    <n v="2"/>
    <n v="38"/>
    <n v="38"/>
    <n v="38"/>
    <n v="0"/>
    <m/>
    <m/>
    <m/>
    <n v="0"/>
    <n v="2"/>
    <n v="0"/>
    <m/>
    <m/>
    <m/>
    <m/>
    <m/>
    <m/>
    <m/>
  </r>
  <r>
    <s v="Universidad Privada de TacnaDoctorado en Derecho Penal y Política Criminal"/>
    <s v="260000043-16-4"/>
    <n v="260000043"/>
    <s v="Universidad Privada de Tacna"/>
    <s v="UPT"/>
    <s v="Universidad"/>
    <s v="Privado"/>
    <s v="Asociativa- Sin fines de lucro"/>
    <s v="LICENCIADA"/>
    <s v="2017 - 2023"/>
    <n v="6"/>
    <s v="POCOLLAY"/>
    <s v=" TACNA"/>
    <s v="TACNA"/>
    <s v="COSTA"/>
    <x v="1"/>
    <s v="5. Ciencias Sociales"/>
    <s v="Doctorado en Derecho Penal y Política Criminal"/>
    <m/>
    <n v="15"/>
    <n v="24"/>
    <n v="23"/>
    <m/>
    <m/>
    <m/>
    <m/>
    <m/>
    <m/>
    <m/>
    <m/>
    <s v="2020-1"/>
    <n v="30"/>
    <n v="16"/>
    <n v="14"/>
    <n v="38.333333333333336"/>
    <n v="57"/>
    <n v="26"/>
    <n v="9.5460168018712981"/>
    <m/>
    <m/>
    <m/>
    <n v="0"/>
    <n v="30"/>
    <n v="0"/>
    <n v="0"/>
    <n v="0"/>
    <n v="9"/>
    <n v="0"/>
    <n v="0"/>
    <n v="0"/>
    <n v="0"/>
  </r>
  <r>
    <s v="Universidad Nacional Hermilio Valdizán de HuánucoAdministración"/>
    <s v="160000023-92-4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5. Ciencias Sociales"/>
    <s v="Administración"/>
    <m/>
    <m/>
    <n v="39"/>
    <n v="46"/>
    <n v="45"/>
    <m/>
    <m/>
    <n v="38"/>
    <m/>
    <n v="2"/>
    <m/>
    <m/>
    <s v="2024-1"/>
    <n v="2"/>
    <n v="0"/>
    <n v="2"/>
    <n v="39"/>
    <n v="50"/>
    <n v="28"/>
    <n v="15.556349186104045"/>
    <n v="34"/>
    <n v="34"/>
    <n v="1"/>
    <n v="0"/>
    <n v="2"/>
    <n v="0"/>
    <m/>
    <m/>
    <m/>
    <m/>
    <m/>
    <m/>
    <m/>
  </r>
  <r>
    <s v="Universidad Peruana Los AndesDoctorado en Derecho"/>
    <s v="260000037-57-4"/>
    <n v="260000037"/>
    <s v="Universidad Peruana Los Andes"/>
    <s v="UPLA"/>
    <s v="Universidad"/>
    <s v="Privado"/>
    <s v="Asociativa- Sin fines de lucro"/>
    <s v="LICENCIADA"/>
    <s v="2020 - 2026"/>
    <n v="6"/>
    <s v="HUANCAYO"/>
    <s v=" HUANCAYO"/>
    <s v="JUNÍN"/>
    <s v="SIERRA"/>
    <x v="1"/>
    <s v="5. Ciencias Sociales"/>
    <s v="Doctorado en Derecho"/>
    <m/>
    <n v="28"/>
    <n v="26"/>
    <n v="25"/>
    <n v="23"/>
    <m/>
    <m/>
    <m/>
    <m/>
    <m/>
    <m/>
    <m/>
    <s v="2021-2"/>
    <n v="46"/>
    <n v="20"/>
    <n v="26"/>
    <n v="39.391304347826086"/>
    <n v="55"/>
    <n v="29"/>
    <n v="6.1082030849945008"/>
    <m/>
    <m/>
    <m/>
    <n v="0"/>
    <n v="46"/>
    <n v="0"/>
    <m/>
    <m/>
    <m/>
    <m/>
    <m/>
    <m/>
    <m/>
  </r>
  <r>
    <s v="Universidad Nacional Hermilio Valdizán de HuánucoMedio Ambiente y Desarrollo Sostenible"/>
    <s v="160000023-100-5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1. Ciencias Naturales"/>
    <s v="Medio Ambiente y Desarrollo Sostenible"/>
    <m/>
    <n v="97"/>
    <n v="57"/>
    <n v="112"/>
    <n v="119"/>
    <m/>
    <m/>
    <n v="131"/>
    <n v="2"/>
    <n v="96"/>
    <m/>
    <m/>
    <s v="2024-1"/>
    <n v="96"/>
    <n v="34"/>
    <n v="62"/>
    <n v="39.397849462365592"/>
    <n v="70"/>
    <n v="25"/>
    <n v="10.845896624336218"/>
    <n v="84"/>
    <n v="84"/>
    <n v="1"/>
    <n v="0"/>
    <n v="96"/>
    <n v="0"/>
    <m/>
    <m/>
    <m/>
    <m/>
    <m/>
    <m/>
    <m/>
  </r>
  <r>
    <s v="Universidad Nacional Hermilio Valdizán de HuánucoContabilidad"/>
    <s v="160000023-97-4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5. Ciencias Sociales"/>
    <s v="Contabilidad"/>
    <m/>
    <n v="41"/>
    <n v="39"/>
    <n v="37"/>
    <n v="37"/>
    <m/>
    <m/>
    <n v="23"/>
    <m/>
    <n v="17"/>
    <m/>
    <m/>
    <s v="2024-1"/>
    <n v="17"/>
    <n v="9"/>
    <n v="8"/>
    <n v="39.470588235294116"/>
    <n v="54"/>
    <n v="28"/>
    <n v="6.6906431590956137"/>
    <m/>
    <m/>
    <m/>
    <n v="0"/>
    <n v="17"/>
    <n v="0"/>
    <m/>
    <m/>
    <m/>
    <m/>
    <m/>
    <m/>
    <m/>
  </r>
  <r>
    <s v="Universidad Nacional del CallaoCiencias de la Salud"/>
    <s v="160000027-61-9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3. Ciencias Médicas y de la Salud"/>
    <s v="Ciencias de la Salud"/>
    <m/>
    <m/>
    <m/>
    <m/>
    <m/>
    <m/>
    <m/>
    <m/>
    <m/>
    <m/>
    <n v="25"/>
    <n v="20"/>
    <s v="2024-2"/>
    <n v="50"/>
    <n v="30"/>
    <n v="20"/>
    <n v="39.56"/>
    <n v="54"/>
    <n v="54"/>
    <n v="26"/>
    <n v="27"/>
    <n v="27"/>
    <n v="1"/>
    <n v="0"/>
    <n v="50"/>
    <n v="0"/>
    <m/>
    <m/>
    <m/>
    <m/>
    <m/>
    <m/>
    <m/>
  </r>
  <r>
    <s v="Universidad Nacional del SantaDoctorado en Ingeniería de Alimentos"/>
    <s v="160000042-16-7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2. Ingeniería y Tecnología"/>
    <s v="Doctorado en Ingeniería de Alimentos"/>
    <m/>
    <n v="8"/>
    <n v="8"/>
    <m/>
    <m/>
    <m/>
    <m/>
    <m/>
    <m/>
    <m/>
    <m/>
    <m/>
    <s v="2020-1"/>
    <n v="16"/>
    <n v="4"/>
    <n v="12"/>
    <n v="39.875"/>
    <n v="67"/>
    <n v="30"/>
    <n v="13.400870618483463"/>
    <m/>
    <m/>
    <m/>
    <n v="0"/>
    <n v="16"/>
    <n v="0"/>
    <m/>
    <m/>
    <m/>
    <m/>
    <m/>
    <m/>
    <m/>
  </r>
  <r>
    <s v="Universidad Nacional Hermilio Valdizán de HuánucoDerecho"/>
    <s v="160000023-96-4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5. Ciencias Sociales"/>
    <s v="Derecho"/>
    <m/>
    <n v="97"/>
    <n v="111"/>
    <n v="137"/>
    <n v="109"/>
    <m/>
    <m/>
    <n v="176"/>
    <m/>
    <n v="120"/>
    <m/>
    <m/>
    <s v="2024-1"/>
    <n v="120"/>
    <n v="47"/>
    <n v="73"/>
    <n v="39.908333333333331"/>
    <n v="62"/>
    <n v="25"/>
    <n v="9.3494221574315048"/>
    <n v="53"/>
    <n v="52"/>
    <n v="0.98113207547169812"/>
    <n v="0"/>
    <n v="120"/>
    <n v="0"/>
    <m/>
    <m/>
    <m/>
    <m/>
    <m/>
    <m/>
    <m/>
  </r>
  <r>
    <s v="Universidad de HuánucoDoctorado en Ciencias de la Educación"/>
    <s v="260000047-34-1"/>
    <n v="260000047"/>
    <s v="Universidad de Huánuco"/>
    <s v="UDH"/>
    <s v="Universidad"/>
    <s v="Privado"/>
    <s v="Asociativa- Sin fines de lucro"/>
    <s v="LICENCIADA"/>
    <s v="2019 - 2025"/>
    <n v="6"/>
    <s v="HUANUCO"/>
    <s v=" HUÁNUCO"/>
    <s v="HUÁNUCO"/>
    <s v="SIERRA"/>
    <x v="1"/>
    <s v="5. Ciencias Sociales"/>
    <s v="Doctorado en Ciencias de la Educación"/>
    <m/>
    <n v="10"/>
    <n v="36"/>
    <n v="33"/>
    <n v="34"/>
    <n v="39"/>
    <n v="30"/>
    <n v="30"/>
    <n v="1"/>
    <n v="2"/>
    <m/>
    <n v="3"/>
    <s v="2024-1"/>
    <n v="2"/>
    <n v="1"/>
    <n v="1"/>
    <n v="40"/>
    <n v="43"/>
    <n v="37"/>
    <n v="4.2426406871192848"/>
    <n v="1"/>
    <m/>
    <n v="0"/>
    <n v="0"/>
    <n v="2"/>
    <n v="0"/>
    <m/>
    <m/>
    <m/>
    <m/>
    <m/>
    <m/>
    <m/>
  </r>
  <r>
    <s v="Universidad Nacional Hermilio Valdizán de HuánucoCiencias de la Salud"/>
    <s v="160000023-94-9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3. Ciencias Médicas y de la Salud"/>
    <s v="Ciencias de la Salud"/>
    <m/>
    <n v="119"/>
    <n v="118"/>
    <n v="54"/>
    <n v="65"/>
    <m/>
    <m/>
    <n v="72"/>
    <n v="5"/>
    <n v="83"/>
    <m/>
    <m/>
    <s v="2024-1"/>
    <n v="83"/>
    <n v="43"/>
    <n v="40"/>
    <n v="40.253012048192772"/>
    <n v="63"/>
    <n v="26"/>
    <n v="9.1981485060243209"/>
    <n v="35"/>
    <n v="35"/>
    <n v="1"/>
    <n v="0"/>
    <n v="83"/>
    <n v="0"/>
    <m/>
    <m/>
    <m/>
    <m/>
    <m/>
    <m/>
    <m/>
  </r>
  <r>
    <s v="Universidad Privada de TacnaDoctorado en Derecho"/>
    <s v="260000043-13-4"/>
    <n v="260000043"/>
    <s v="Universidad Privada de Tacna"/>
    <s v="UPT"/>
    <s v="Universidad"/>
    <s v="Privado"/>
    <s v="Asociativa- Sin fines de lucro"/>
    <s v="LICENCIADA"/>
    <s v="2017 - 2023"/>
    <n v="6"/>
    <s v="POCOLLAY"/>
    <s v=" TACNA"/>
    <s v="TACNA"/>
    <s v="COSTA"/>
    <x v="1"/>
    <s v="5. Ciencias Sociales"/>
    <s v="Doctorado en Derecho"/>
    <m/>
    <n v="39"/>
    <n v="35"/>
    <n v="33"/>
    <m/>
    <m/>
    <m/>
    <m/>
    <m/>
    <m/>
    <m/>
    <m/>
    <s v="2020-1"/>
    <n v="78"/>
    <n v="32"/>
    <n v="46"/>
    <n v="40.333333333333336"/>
    <n v="67"/>
    <n v="24"/>
    <n v="10.652317187910873"/>
    <m/>
    <m/>
    <m/>
    <n v="0"/>
    <n v="78"/>
    <n v="0"/>
    <n v="0"/>
    <n v="18"/>
    <n v="0"/>
    <n v="2"/>
    <n v="0"/>
    <n v="0"/>
    <n v="0"/>
  </r>
  <r>
    <s v="Universidad Nacional del SantaDoctorado en Ingeniería Bioquímica"/>
    <s v="160000042-14-9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3. Ciencias Médicas y de la Salud"/>
    <s v="Doctorado en Ingeniería Bioquímica"/>
    <m/>
    <m/>
    <n v="3"/>
    <m/>
    <m/>
    <m/>
    <m/>
    <m/>
    <m/>
    <m/>
    <m/>
    <m/>
    <s v="2020-2"/>
    <n v="6"/>
    <n v="2"/>
    <n v="4"/>
    <n v="40.333333333333336"/>
    <n v="41"/>
    <n v="39"/>
    <n v="1.0327955589887032"/>
    <m/>
    <m/>
    <m/>
    <n v="0"/>
    <n v="6"/>
    <n v="0"/>
    <m/>
    <m/>
    <m/>
    <m/>
    <m/>
    <m/>
    <m/>
  </r>
  <r>
    <s v="Universidad Andina del CuscoCiencias de la Salud"/>
    <s v="260000039-8-9"/>
    <n v="260000039"/>
    <s v="Universidad Andina del Cusco"/>
    <s v="UAC"/>
    <s v="Universidad"/>
    <s v="Privado"/>
    <s v="Asociativa- Sin fines de lucro"/>
    <s v="LICENCIADA"/>
    <s v="2017 - 2023"/>
    <n v="6"/>
    <s v="SAN JERÓNIMO"/>
    <s v=" CUSCO"/>
    <s v="CUSCO"/>
    <s v="SIERRA"/>
    <x v="1"/>
    <s v="3. Ciencias Médicas y de la Salud"/>
    <s v="Ciencias de la Salud"/>
    <m/>
    <n v="52"/>
    <n v="66"/>
    <n v="47"/>
    <n v="49"/>
    <n v="15"/>
    <n v="47"/>
    <n v="16"/>
    <n v="49"/>
    <m/>
    <n v="43"/>
    <n v="32"/>
    <s v="2024-2"/>
    <n v="86"/>
    <n v="48"/>
    <n v="38"/>
    <n v="40.463414634146339"/>
    <n v="63"/>
    <n v="63"/>
    <n v="30"/>
    <n v="11"/>
    <n v="11"/>
    <n v="1"/>
    <n v="0"/>
    <n v="82"/>
    <n v="0"/>
    <n v="1"/>
    <n v="9"/>
    <n v="2"/>
    <n v="1"/>
    <n v="1"/>
    <n v="11"/>
    <n v="0"/>
  </r>
  <r>
    <s v="Universidad Andina del CuscoAdministración"/>
    <s v="260000039-3-4"/>
    <n v="260000039"/>
    <s v="Universidad Andina del Cusco"/>
    <s v="UAC"/>
    <s v="Universidad"/>
    <s v="Privado"/>
    <s v="Asociativa- Sin fines de lucro"/>
    <s v="LICENCIADA"/>
    <s v="2017 - 2023"/>
    <n v="6"/>
    <s v="SAN JERÓNIMO"/>
    <s v=" CUSCO"/>
    <s v="CUSCO"/>
    <s v="SIERRA"/>
    <x v="1"/>
    <s v="5. Ciencias Sociales"/>
    <s v="Administración"/>
    <m/>
    <n v="25"/>
    <n v="46"/>
    <n v="43"/>
    <n v="39"/>
    <n v="19"/>
    <n v="15"/>
    <n v="13"/>
    <n v="40"/>
    <m/>
    <n v="75"/>
    <n v="35"/>
    <s v="2024-2"/>
    <n v="150"/>
    <n v="58"/>
    <n v="92"/>
    <n v="40.589041095890408"/>
    <n v="66"/>
    <n v="66"/>
    <n v="29"/>
    <n v="36"/>
    <n v="36"/>
    <n v="1"/>
    <n v="0"/>
    <n v="146"/>
    <n v="0"/>
    <n v="19"/>
    <n v="0"/>
    <n v="0"/>
    <n v="0"/>
    <n v="0"/>
    <n v="0"/>
    <n v="9"/>
  </r>
  <r>
    <s v="Universidad Nacional del SantaDoctorado en Ingeniería Civil"/>
    <s v="160000042-15-7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2. Ingeniería y Tecnología"/>
    <s v="Doctorado en Ingeniería Civil"/>
    <m/>
    <n v="18"/>
    <n v="24"/>
    <m/>
    <m/>
    <m/>
    <m/>
    <m/>
    <m/>
    <m/>
    <m/>
    <m/>
    <s v="2020-1"/>
    <n v="36"/>
    <n v="8"/>
    <n v="28"/>
    <n v="40.722222222222221"/>
    <n v="57"/>
    <n v="26"/>
    <n v="9.5785806020102093"/>
    <m/>
    <m/>
    <m/>
    <n v="0"/>
    <n v="36"/>
    <n v="0"/>
    <m/>
    <m/>
    <m/>
    <m/>
    <m/>
    <m/>
    <m/>
  </r>
  <r>
    <s v="Universidad de HuánucoDoctorado en Derecho"/>
    <s v="260000047-36-4"/>
    <n v="260000047"/>
    <s v="Universidad de Huánuco"/>
    <s v="UDH"/>
    <s v="Universidad"/>
    <s v="Privado"/>
    <s v="Asociativa- Sin fines de lucro"/>
    <s v="LICENCIADA"/>
    <s v="2019 - 2025"/>
    <n v="6"/>
    <s v="HUANUCO"/>
    <s v=" HUÁNUCO"/>
    <s v="HUÁNUCO"/>
    <s v="SIERRA"/>
    <x v="1"/>
    <s v="5. Ciencias Sociales"/>
    <s v="Doctorado en Derecho"/>
    <m/>
    <n v="62"/>
    <n v="73"/>
    <n v="75"/>
    <n v="80"/>
    <n v="81"/>
    <n v="63"/>
    <n v="55"/>
    <m/>
    <n v="41"/>
    <n v="27"/>
    <n v="10"/>
    <s v="2024-1"/>
    <n v="41"/>
    <n v="18"/>
    <n v="23"/>
    <n v="40.825000000000003"/>
    <n v="58"/>
    <n v="29"/>
    <n v="7.2035870694166331"/>
    <n v="3"/>
    <m/>
    <n v="0"/>
    <n v="0"/>
    <n v="41"/>
    <n v="0"/>
    <m/>
    <m/>
    <m/>
    <m/>
    <m/>
    <m/>
    <m/>
  </r>
  <r>
    <s v="Universidad Católica Santo Toribio de MogrovejoDoctorado en Enfermería"/>
    <s v="260000069-8-9"/>
    <n v="260000069"/>
    <s v="Universidad Católica Santo Toribio de Mogrovejo"/>
    <s v="USAT"/>
    <s v="Universidad"/>
    <s v="Privado"/>
    <s v="Asociativa- Sin fines de lucro"/>
    <s v="LICENCIADA"/>
    <s v="2018 - 2024"/>
    <n v="6"/>
    <s v="CHICLAYO"/>
    <s v=" CHICLAYO"/>
    <s v="LAMBAYEQUE"/>
    <s v="COSTA"/>
    <x v="1"/>
    <s v="3. Ciencias Médicas y de la Salud"/>
    <s v="Doctorado en Enfermería"/>
    <m/>
    <n v="16"/>
    <n v="14"/>
    <n v="14"/>
    <m/>
    <n v="15"/>
    <n v="12"/>
    <n v="8"/>
    <n v="21"/>
    <n v="15"/>
    <n v="22"/>
    <n v="14"/>
    <s v="2024-1"/>
    <n v="15"/>
    <n v="14"/>
    <n v="1"/>
    <n v="41"/>
    <n v="54"/>
    <n v="31"/>
    <n v="8.4091786587208208"/>
    <m/>
    <m/>
    <m/>
    <n v="5"/>
    <n v="10"/>
    <n v="0.5"/>
    <n v="0"/>
    <n v="0"/>
    <n v="0"/>
    <n v="0"/>
    <n v="0"/>
    <n v="0"/>
    <n v="9"/>
  </r>
  <r>
    <s v="Universidad Nacional del Centro del PerúDoctorado en Seguridad y Control en Minería"/>
    <s v="160000010-16-7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2. Ingeniería y Tecnología"/>
    <s v="Doctorado en Seguridad y Control en Minería"/>
    <m/>
    <n v="32"/>
    <m/>
    <m/>
    <m/>
    <m/>
    <m/>
    <m/>
    <m/>
    <m/>
    <m/>
    <m/>
    <s v="2020-1"/>
    <n v="64"/>
    <n v="6"/>
    <n v="58"/>
    <n v="41.03125"/>
    <n v="69"/>
    <n v="24"/>
    <n v="12.710411617727551"/>
    <n v="8"/>
    <n v="8"/>
    <n v="1"/>
    <n v="0"/>
    <n v="64"/>
    <n v="0"/>
    <m/>
    <m/>
    <m/>
    <m/>
    <m/>
    <m/>
    <m/>
  </r>
  <r>
    <s v="Universidad Nacional del Centro del PerúDoctorado en Administración"/>
    <s v="160000010-12-4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5. Ciencias Sociales"/>
    <s v="Doctorado en Administración"/>
    <m/>
    <m/>
    <n v="57"/>
    <m/>
    <m/>
    <m/>
    <m/>
    <m/>
    <m/>
    <m/>
    <m/>
    <m/>
    <s v="2020-2"/>
    <n v="114"/>
    <n v="26"/>
    <n v="88"/>
    <n v="41.175438596491226"/>
    <n v="63"/>
    <n v="25"/>
    <n v="8.0751400590994251"/>
    <n v="17"/>
    <n v="17"/>
    <n v="1"/>
    <n v="0"/>
    <n v="114"/>
    <n v="0"/>
    <m/>
    <m/>
    <m/>
    <m/>
    <m/>
    <m/>
    <m/>
  </r>
  <r>
    <s v="Universidad César Vallejo S.A.C.Doctorado en Psicología"/>
    <s v="260000052-74-3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5. Ciencias Sociales"/>
    <s v="Doctorado en Psicología"/>
    <m/>
    <n v="124"/>
    <n v="141"/>
    <n v="192"/>
    <n v="156"/>
    <n v="221"/>
    <n v="201"/>
    <n v="157"/>
    <n v="135"/>
    <n v="159"/>
    <m/>
    <m/>
    <s v="2024-1"/>
    <n v="159"/>
    <n v="101"/>
    <n v="58"/>
    <n v="41.392405063291136"/>
    <n v="68"/>
    <n v="25"/>
    <n v="10.04374853452074"/>
    <n v="88"/>
    <n v="88"/>
    <n v="1"/>
    <n v="16"/>
    <n v="143"/>
    <n v="0.11188811188811189"/>
    <n v="13"/>
    <n v="7"/>
    <n v="18"/>
    <n v="50"/>
    <n v="0"/>
    <n v="24"/>
    <n v="47"/>
  </r>
  <r>
    <s v="Universidad Peruana Los AndesDoctorado en Derecho"/>
    <s v="260000037-139-"/>
    <n v="260000037"/>
    <s v="Universidad Peruana Los Andes"/>
    <s v="UPLA"/>
    <s v="Universidad"/>
    <s v="Privado"/>
    <s v="Asociativa- Sin fines de lucro"/>
    <s v="LICENCIADA"/>
    <s v="2020 - 2026"/>
    <n v="6"/>
    <s v="HUANCAYO"/>
    <s v=" HUANCAYO"/>
    <s v="JUNÍN"/>
    <s v="SIERRA"/>
    <x v="1"/>
    <s v="5. Ciencias Sociales"/>
    <s v="Doctorado en Derecho"/>
    <m/>
    <m/>
    <m/>
    <m/>
    <m/>
    <m/>
    <m/>
    <m/>
    <m/>
    <m/>
    <m/>
    <n v="28"/>
    <s v="2025-1"/>
    <n v="56"/>
    <n v="18"/>
    <n v="38"/>
    <n v="41.42307692307692"/>
    <n v="60"/>
    <n v="27"/>
    <n v="8.1801916508690251"/>
    <n v="45"/>
    <n v="40"/>
    <n v="0.88888888888888884"/>
    <n v="0"/>
    <n v="56"/>
    <n v="0"/>
    <m/>
    <m/>
    <m/>
    <m/>
    <m/>
    <m/>
    <m/>
  </r>
  <r>
    <s v="Universidad Andina del CuscoDerecho"/>
    <s v="260000039-16-4"/>
    <n v="260000039"/>
    <s v="Universidad Andina del Cusco"/>
    <s v="UAC"/>
    <s v="Universidad"/>
    <s v="Privado"/>
    <s v="Asociativa- Sin fines de lucro"/>
    <s v="LICENCIADA"/>
    <s v="2017 - 2023"/>
    <n v="6"/>
    <s v="SAN JERÓNIMO"/>
    <s v=" CUSCO"/>
    <s v="CUSCO"/>
    <s v="SIERRA"/>
    <x v="1"/>
    <s v="5. Ciencias Sociales"/>
    <s v="Derecho"/>
    <m/>
    <n v="44"/>
    <n v="67"/>
    <n v="56"/>
    <n v="76"/>
    <n v="33"/>
    <n v="50"/>
    <n v="16"/>
    <n v="16"/>
    <m/>
    <n v="76"/>
    <n v="49"/>
    <s v="2024-2"/>
    <n v="152"/>
    <n v="66"/>
    <n v="86"/>
    <n v="41.618421052631582"/>
    <n v="63"/>
    <n v="63"/>
    <n v="26"/>
    <n v="44"/>
    <n v="44"/>
    <n v="1"/>
    <n v="0"/>
    <n v="152"/>
    <n v="0"/>
    <n v="0"/>
    <n v="17"/>
    <n v="15"/>
    <n v="2"/>
    <n v="0"/>
    <n v="0"/>
    <n v="0"/>
  </r>
  <r>
    <s v="Universidad Nacional Hermilio Valdizán de HuánucoCiencias de la Educación"/>
    <s v="160000023-93-1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5. Ciencias Sociales"/>
    <s v="Ciencias de la Educación"/>
    <m/>
    <n v="120"/>
    <n v="113"/>
    <n v="167"/>
    <n v="153"/>
    <m/>
    <m/>
    <m/>
    <m/>
    <n v="66"/>
    <m/>
    <m/>
    <s v="2024-1"/>
    <n v="66"/>
    <n v="35"/>
    <n v="31"/>
    <n v="41.81818181818182"/>
    <n v="58"/>
    <n v="26"/>
    <n v="8.4796754127086142"/>
    <n v="110"/>
    <n v="110"/>
    <n v="1"/>
    <n v="0"/>
    <n v="66"/>
    <n v="0"/>
    <m/>
    <m/>
    <m/>
    <m/>
    <m/>
    <m/>
    <m/>
  </r>
  <r>
    <s v="Universidad Nacional del SantaDoctorado en Ingeniería Agroindustrial"/>
    <s v="160000042-13-8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4. Ciencias Agrícolas"/>
    <s v="Doctorado en Ingeniería Agroindustrial"/>
    <n v="2023"/>
    <n v="9"/>
    <n v="11"/>
    <m/>
    <m/>
    <m/>
    <m/>
    <m/>
    <m/>
    <m/>
    <m/>
    <m/>
    <s v="2020-1"/>
    <n v="18"/>
    <n v="2"/>
    <n v="16"/>
    <n v="42.333333333333336"/>
    <n v="61"/>
    <n v="31"/>
    <n v="9.6161628644326793"/>
    <m/>
    <m/>
    <m/>
    <n v="0"/>
    <n v="18"/>
    <n v="0"/>
    <m/>
    <m/>
    <m/>
    <m/>
    <m/>
    <m/>
    <m/>
  </r>
  <r>
    <s v="Universidad César Vallejo S.A.C.Doctorado en Derecho"/>
    <s v="260000052-70-4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5. Ciencias Sociales"/>
    <s v="Doctorado en Derecho"/>
    <m/>
    <n v="204"/>
    <n v="227"/>
    <n v="335"/>
    <n v="336"/>
    <n v="342"/>
    <n v="308"/>
    <n v="277"/>
    <n v="282"/>
    <n v="250"/>
    <m/>
    <m/>
    <s v="2024-1"/>
    <n v="250"/>
    <n v="123"/>
    <n v="127"/>
    <n v="42.670682730923694"/>
    <n v="69"/>
    <n v="25"/>
    <n v="10.618569398193758"/>
    <n v="144"/>
    <n v="128"/>
    <n v="0.88888888888888884"/>
    <n v="1"/>
    <n v="249"/>
    <n v="4.0160642570281121E-3"/>
    <n v="30"/>
    <n v="31"/>
    <n v="34"/>
    <n v="79"/>
    <n v="0"/>
    <n v="44"/>
    <n v="50"/>
  </r>
  <r>
    <s v="Universidad Nacional Jorge Basadre GrohmannDoctorado en Ciencias de la Educación"/>
    <s v="160000032-20-1"/>
    <n v="160000032"/>
    <s v="Universidad Nacional Jorge Basadre Grohmann"/>
    <s v="UNJBG"/>
    <s v="Universidad"/>
    <s v="Público"/>
    <s v="Pública"/>
    <s v="LICENCIADA"/>
    <s v="2018 - 2024"/>
    <n v="6"/>
    <s v="TACNA"/>
    <s v=" TACNA"/>
    <s v="TACNA"/>
    <s v="COSTA"/>
    <x v="1"/>
    <s v="5. Ciencias Sociales"/>
    <s v="Doctorado en Ciencias de la Educación"/>
    <m/>
    <n v="37"/>
    <n v="35"/>
    <m/>
    <m/>
    <m/>
    <m/>
    <m/>
    <m/>
    <m/>
    <m/>
    <m/>
    <s v="2020-1"/>
    <n v="74"/>
    <n v="48"/>
    <n v="26"/>
    <n v="42.675675675675677"/>
    <n v="62"/>
    <n v="24"/>
    <n v="8.635873107667166"/>
    <n v="28"/>
    <n v="28"/>
    <n v="1"/>
    <n v="0"/>
    <n v="74"/>
    <n v="0"/>
    <m/>
    <m/>
    <m/>
    <m/>
    <m/>
    <m/>
    <m/>
  </r>
  <r>
    <s v="Universidad Nacional del Centro del PerúDoctorado en Ingeniería de Sistemas"/>
    <s v="160000010-17-6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1. Ciencias Naturales"/>
    <s v="Doctorado en Ingeniería de Sistemas"/>
    <m/>
    <n v="14"/>
    <n v="14"/>
    <m/>
    <m/>
    <m/>
    <m/>
    <m/>
    <m/>
    <m/>
    <m/>
    <m/>
    <s v="2020-1"/>
    <n v="28"/>
    <n v="2"/>
    <n v="26"/>
    <n v="42.714285714285715"/>
    <n v="53"/>
    <n v="31"/>
    <n v="5.3669574997602405"/>
    <n v="8"/>
    <n v="8"/>
    <n v="1"/>
    <n v="0"/>
    <n v="28"/>
    <n v="0"/>
    <m/>
    <m/>
    <m/>
    <m/>
    <m/>
    <m/>
    <m/>
  </r>
  <r>
    <s v="Universidad Andina del CuscoMedio Ambiente y Desarrollo Sostenible"/>
    <s v="260000039-53-5"/>
    <n v="260000039"/>
    <s v="Universidad Andina del Cusco"/>
    <s v="UAC"/>
    <s v="Universidad"/>
    <s v="Privado"/>
    <s v="Asociativa- Sin fines de lucro"/>
    <s v="LICENCIADA"/>
    <s v="2017 - 2023"/>
    <n v="6"/>
    <s v="SAN JERÓNIMO"/>
    <s v=" CUSCO"/>
    <s v="CUSCO"/>
    <s v="SIERRA"/>
    <x v="1"/>
    <s v="1. Ciencias Naturales"/>
    <s v="Medio Ambiente y Desarrollo Sostenible"/>
    <m/>
    <n v="110"/>
    <n v="149"/>
    <n v="79"/>
    <n v="84"/>
    <n v="31"/>
    <n v="37"/>
    <n v="16"/>
    <n v="38"/>
    <m/>
    <n v="79"/>
    <n v="39"/>
    <s v="2024-2"/>
    <n v="158"/>
    <n v="68"/>
    <n v="90"/>
    <n v="42.746835443037973"/>
    <n v="65"/>
    <n v="65"/>
    <n v="29"/>
    <n v="26"/>
    <n v="26"/>
    <n v="1"/>
    <n v="0"/>
    <n v="158"/>
    <n v="0"/>
    <n v="11"/>
    <n v="19"/>
    <n v="3"/>
    <n v="0"/>
    <n v="0"/>
    <n v="1"/>
    <n v="10"/>
  </r>
  <r>
    <s v="Universidad Nacional del SantaDoctorado en Física"/>
    <s v="160000042-12-5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1. Ciencias Naturales"/>
    <s v="Doctorado en Física"/>
    <m/>
    <n v="4"/>
    <n v="2"/>
    <m/>
    <m/>
    <m/>
    <m/>
    <m/>
    <m/>
    <m/>
    <m/>
    <m/>
    <s v="2020-1"/>
    <n v="8"/>
    <n v="2"/>
    <n v="6"/>
    <n v="42.75"/>
    <n v="56"/>
    <n v="34"/>
    <n v="8.7300793647186108"/>
    <m/>
    <m/>
    <m/>
    <n v="0"/>
    <n v="8"/>
    <n v="0"/>
    <m/>
    <m/>
    <m/>
    <m/>
    <m/>
    <m/>
    <m/>
  </r>
  <r>
    <s v="Universidad Nacional del CallaoSalud Pública"/>
    <s v="160000027-65-0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5. Ciencias Sociales"/>
    <s v="Salud Pública"/>
    <m/>
    <n v="38"/>
    <n v="17"/>
    <n v="58"/>
    <n v="82"/>
    <n v="85"/>
    <n v="97"/>
    <n v="101"/>
    <m/>
    <n v="89"/>
    <n v="70"/>
    <n v="71"/>
    <s v="2024-1"/>
    <n v="89"/>
    <n v="60"/>
    <n v="29"/>
    <n v="42.820224719101127"/>
    <n v="66"/>
    <n v="25"/>
    <n v="9.9356586890498075"/>
    <n v="30"/>
    <n v="30"/>
    <n v="1"/>
    <n v="0"/>
    <n v="89"/>
    <n v="0"/>
    <n v="2"/>
    <n v="0"/>
    <n v="8"/>
    <n v="3"/>
    <n v="0"/>
    <n v="14"/>
    <n v="7"/>
  </r>
  <r>
    <s v="Universidad César Vallejo S.A.C.Doctorado en Comunicación Social"/>
    <s v="260000052-69-3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5. Ciencias Sociales"/>
    <s v="Doctorado en Comunicación Social"/>
    <m/>
    <n v="28"/>
    <n v="28"/>
    <n v="27"/>
    <n v="27"/>
    <n v="53"/>
    <n v="15"/>
    <n v="12"/>
    <n v="14"/>
    <n v="13"/>
    <m/>
    <m/>
    <s v="2024-1"/>
    <n v="13"/>
    <n v="3"/>
    <n v="10"/>
    <n v="42.92307692307692"/>
    <n v="65"/>
    <n v="34"/>
    <n v="9.8018836494279586"/>
    <m/>
    <m/>
    <m/>
    <n v="1"/>
    <n v="12"/>
    <n v="8.3333333333333329E-2"/>
    <n v="20"/>
    <n v="2"/>
    <n v="2"/>
    <n v="1"/>
    <n v="0"/>
    <n v="0"/>
    <n v="11"/>
  </r>
  <r>
    <s v="Universidad Privada de TacnaDoctorado en Educación con Mención en Gestión Educativa"/>
    <s v="260000043-20-1"/>
    <n v="260000043"/>
    <s v="Universidad Privada de Tacna"/>
    <s v="UPT"/>
    <s v="Universidad"/>
    <s v="Privado"/>
    <s v="Asociativa- Sin fines de lucro"/>
    <s v="LICENCIADA"/>
    <s v="2017 - 2023"/>
    <n v="6"/>
    <s v="POCOLLAY"/>
    <s v=" TACNA"/>
    <s v="TACNA"/>
    <s v="COSTA"/>
    <x v="1"/>
    <s v="5. Ciencias Sociales"/>
    <s v="Doctorado en Educación con Mención en Gestión Educativa"/>
    <m/>
    <n v="42"/>
    <n v="38"/>
    <n v="31"/>
    <m/>
    <m/>
    <m/>
    <m/>
    <m/>
    <m/>
    <m/>
    <m/>
    <s v="2020-1"/>
    <n v="84"/>
    <n v="56"/>
    <n v="28"/>
    <n v="42.976190476190474"/>
    <n v="61"/>
    <n v="25"/>
    <n v="10.663501753646807"/>
    <n v="19"/>
    <n v="18"/>
    <n v="0.94736842105263153"/>
    <n v="0"/>
    <n v="84"/>
    <n v="0"/>
    <n v="15"/>
    <n v="12"/>
    <n v="0"/>
    <n v="8"/>
    <n v="0"/>
    <n v="0"/>
    <n v="0"/>
  </r>
  <r>
    <s v="Universidad Privada de TacnaDoctorado en Administración"/>
    <s v="260000043-1-4"/>
    <n v="260000043"/>
    <s v="Universidad Privada de Tacna"/>
    <s v="UPT"/>
    <s v="Universidad"/>
    <s v="Privado"/>
    <s v="Asociativa- Sin fines de lucro"/>
    <s v="LICENCIADA"/>
    <s v="2017 - 2023"/>
    <n v="6"/>
    <s v="POCOLLAY"/>
    <s v=" TACNA"/>
    <s v="TACNA"/>
    <s v="COSTA"/>
    <x v="1"/>
    <s v="5. Ciencias Sociales"/>
    <s v="Doctorado en Administración"/>
    <m/>
    <n v="55"/>
    <n v="58"/>
    <n v="62"/>
    <m/>
    <m/>
    <m/>
    <m/>
    <m/>
    <m/>
    <m/>
    <m/>
    <s v="2020-1"/>
    <n v="110"/>
    <n v="40"/>
    <n v="70"/>
    <n v="43.113207547169814"/>
    <n v="70"/>
    <n v="22"/>
    <n v="11.324916276126546"/>
    <m/>
    <m/>
    <m/>
    <n v="2"/>
    <n v="108"/>
    <n v="1.8518518518518517E-2"/>
    <n v="0"/>
    <n v="11"/>
    <n v="9"/>
    <n v="11"/>
    <n v="0"/>
    <n v="0"/>
    <n v="0"/>
  </r>
  <r>
    <s v="Universidad Señor de Sipán S.A.C.Doctorado en Ciencias de la Educación"/>
    <s v="260000072-38-1"/>
    <n v="260000072"/>
    <s v="Universidad Señor de Sipán S.A.C."/>
    <s v="USS"/>
    <s v="Universidad"/>
    <s v="Privado"/>
    <s v="Societaria- Con fines de lucro"/>
    <s v="LICENCIADA"/>
    <s v="2020 - 2026"/>
    <n v="6"/>
    <s v="PIMENTEL"/>
    <s v="CHICLAYO"/>
    <s v="LAMBAYEQUE"/>
    <s v="COSTA"/>
    <x v="1"/>
    <s v="5. Ciencias Sociales"/>
    <s v="Doctorado en Ciencias de la Educación"/>
    <m/>
    <m/>
    <n v="27"/>
    <n v="27"/>
    <m/>
    <m/>
    <m/>
    <m/>
    <m/>
    <m/>
    <m/>
    <m/>
    <s v="2020-2"/>
    <n v="54"/>
    <n v="30"/>
    <n v="24"/>
    <n v="43.230769230769234"/>
    <n v="56"/>
    <n v="28"/>
    <n v="8.7146830899044172"/>
    <m/>
    <m/>
    <m/>
    <n v="0"/>
    <n v="54"/>
    <n v="0"/>
    <m/>
    <m/>
    <m/>
    <m/>
    <m/>
    <m/>
    <m/>
  </r>
  <r>
    <s v="Universidad Nacional José Faustino Sánchez CarriónDoctorado en Ciencia y Tecnología de los Alimentos"/>
    <s v="160000028-86-7"/>
    <n v="160000028"/>
    <s v="Universidad Nacional José Faustino Sánchez Carrión"/>
    <s v="UNJFSC"/>
    <s v="Universidad"/>
    <s v="Público"/>
    <s v="Pública"/>
    <s v="LICENCIADA"/>
    <s v="2020 - 2026"/>
    <n v="6"/>
    <s v="HUACHO"/>
    <s v=" HUAURA"/>
    <s v="LIMA"/>
    <s v="LIMA"/>
    <x v="1"/>
    <s v="2. Ingeniería y Tecnología"/>
    <s v="Doctorado en Ciencia y Tecnología de los Alimentos"/>
    <m/>
    <n v="14"/>
    <n v="13"/>
    <m/>
    <m/>
    <m/>
    <m/>
    <m/>
    <m/>
    <m/>
    <m/>
    <m/>
    <s v="2020-1"/>
    <n v="28"/>
    <n v="8"/>
    <n v="20"/>
    <n v="43.285714285714285"/>
    <n v="68"/>
    <n v="27"/>
    <n v="12.2772211322497"/>
    <m/>
    <m/>
    <m/>
    <n v="0"/>
    <n v="28"/>
    <n v="0"/>
    <n v="10"/>
    <n v="1"/>
    <n v="0"/>
    <n v="0"/>
    <n v="0"/>
    <n v="0"/>
    <n v="0"/>
  </r>
  <r>
    <s v="Universidad Femenina del Sagrado CorazónDoctorado en Psicología"/>
    <s v="260000020-20-3"/>
    <n v="260000020"/>
    <s v="Universidad Femenina del Sagrado Corazón"/>
    <s v="UNIFE"/>
    <s v="Universidad"/>
    <s v="Privado"/>
    <s v="Asociativa- Sin fines de lucro"/>
    <s v="LICENCIADA"/>
    <s v="2016 - 2022"/>
    <n v="6"/>
    <s v="LA MOLINA"/>
    <s v=" LIMA"/>
    <s v="LIMA"/>
    <s v="LIMA"/>
    <x v="1"/>
    <s v="5. Ciencias Sociales"/>
    <s v="Doctorado en Psicología"/>
    <m/>
    <m/>
    <n v="15"/>
    <n v="21"/>
    <n v="26"/>
    <n v="26"/>
    <n v="31"/>
    <n v="20"/>
    <n v="24"/>
    <n v="31"/>
    <n v="27"/>
    <n v="25"/>
    <s v="2024-1"/>
    <n v="31"/>
    <n v="25"/>
    <n v="6"/>
    <n v="43.41935483870968"/>
    <n v="69"/>
    <n v="27"/>
    <n v="12.260435537528528"/>
    <n v="20"/>
    <n v="14"/>
    <n v="0.7"/>
    <n v="0"/>
    <n v="31"/>
    <n v="0"/>
    <n v="0"/>
    <n v="6"/>
    <n v="0"/>
    <n v="6"/>
    <n v="0"/>
    <n v="3"/>
    <n v="3"/>
  </r>
  <r>
    <s v="Universidad Andina del CuscoPsicología"/>
    <s v="260000039-56-3"/>
    <n v="260000039"/>
    <s v="Universidad Andina del Cusco"/>
    <s v="UAC"/>
    <s v="Universidad"/>
    <s v="Privado"/>
    <s v="Asociativa- Sin fines de lucro"/>
    <s v="LICENCIADA"/>
    <s v="2017 - 2023"/>
    <n v="6"/>
    <s v="SAN JERÓNIMO"/>
    <s v=" CUSCO"/>
    <s v="CUSCO"/>
    <s v="SIERRA"/>
    <x v="1"/>
    <s v="5. Ciencias Sociales"/>
    <s v="Psicología"/>
    <m/>
    <n v="11"/>
    <n v="1"/>
    <m/>
    <m/>
    <m/>
    <m/>
    <m/>
    <m/>
    <m/>
    <n v="37"/>
    <n v="16"/>
    <s v="2024-2"/>
    <n v="74"/>
    <n v="46"/>
    <n v="28"/>
    <n v="43.45945945945946"/>
    <n v="61"/>
    <n v="61"/>
    <n v="29"/>
    <n v="30"/>
    <n v="30"/>
    <n v="1"/>
    <n v="0"/>
    <n v="74"/>
    <n v="0"/>
    <m/>
    <m/>
    <m/>
    <m/>
    <m/>
    <m/>
    <m/>
  </r>
  <r>
    <s v="Universidad Nacional Hermilio Valdizán de HuánucoGestión Empresarial"/>
    <s v="160000023-98-4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5. Ciencias Sociales"/>
    <s v="Gestión Empresarial"/>
    <m/>
    <n v="30"/>
    <n v="29"/>
    <n v="60"/>
    <n v="43"/>
    <m/>
    <m/>
    <n v="78"/>
    <n v="2"/>
    <n v="42"/>
    <m/>
    <m/>
    <s v="2024-1"/>
    <n v="42"/>
    <n v="11"/>
    <n v="31"/>
    <n v="43.487804878048777"/>
    <n v="65"/>
    <n v="29"/>
    <n v="9.6620959196737157"/>
    <n v="20"/>
    <n v="20"/>
    <n v="1"/>
    <n v="0"/>
    <n v="42"/>
    <n v="0"/>
    <m/>
    <m/>
    <m/>
    <m/>
    <m/>
    <m/>
    <m/>
  </r>
  <r>
    <s v="Universidad Nacional del Centro del PerúDoctorado en Ciencias Ambientales y Desarrollo Sostenible"/>
    <s v="160000010-13-5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1. Ciencias Naturales"/>
    <s v="Doctorado en Ciencias Ambientales y Desarrollo Sostenible"/>
    <m/>
    <n v="51"/>
    <n v="59"/>
    <m/>
    <m/>
    <m/>
    <m/>
    <m/>
    <m/>
    <m/>
    <m/>
    <m/>
    <s v="2020-1"/>
    <n v="102"/>
    <n v="40"/>
    <n v="62"/>
    <n v="43.705882352941174"/>
    <n v="67"/>
    <n v="24"/>
    <n v="10.754311348481661"/>
    <n v="22"/>
    <n v="22"/>
    <n v="1"/>
    <n v="0"/>
    <n v="102"/>
    <n v="0"/>
    <m/>
    <m/>
    <m/>
    <m/>
    <m/>
    <m/>
    <m/>
  </r>
  <r>
    <s v="Universidad Nacional José Faustino Sánchez CarriónDoctorado en Ciencias de la Educación"/>
    <s v="160000028-88-1"/>
    <n v="160000028"/>
    <s v="Universidad Nacional José Faustino Sánchez Carrión"/>
    <s v="UNJFSC"/>
    <s v="Universidad"/>
    <s v="Público"/>
    <s v="Pública"/>
    <s v="LICENCIADA"/>
    <s v="2020 - 2026"/>
    <n v="6"/>
    <s v="HUACHO"/>
    <s v=" HUAURA"/>
    <s v="LIMA"/>
    <s v="LIMA"/>
    <x v="1"/>
    <s v="5. Ciencias Sociales"/>
    <s v="Doctorado en Ciencias de la Educación"/>
    <m/>
    <n v="97"/>
    <n v="132"/>
    <m/>
    <m/>
    <m/>
    <m/>
    <m/>
    <m/>
    <m/>
    <m/>
    <m/>
    <s v="2020-1"/>
    <n v="194"/>
    <n v="94"/>
    <n v="100"/>
    <n v="43.742268041237111"/>
    <n v="69"/>
    <n v="24"/>
    <n v="11.129271818155628"/>
    <n v="39"/>
    <n v="39"/>
    <n v="1"/>
    <n v="0"/>
    <n v="194"/>
    <n v="0"/>
    <n v="7"/>
    <n v="21"/>
    <n v="45"/>
    <n v="1"/>
    <n v="0"/>
    <n v="0"/>
    <n v="0"/>
  </r>
  <r>
    <s v="Universidad Nacional del CallaoIngeniería de Sistemas"/>
    <s v="160000027-94-6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1. Ciencias Naturales"/>
    <s v="Ingeniería de Sistemas"/>
    <m/>
    <m/>
    <m/>
    <m/>
    <m/>
    <m/>
    <m/>
    <m/>
    <m/>
    <n v="19"/>
    <n v="45"/>
    <n v="79"/>
    <s v="2024-1"/>
    <n v="19"/>
    <n v="5"/>
    <n v="14"/>
    <n v="43.842105263157897"/>
    <n v="67"/>
    <n v="29"/>
    <n v="8.001827276696357"/>
    <n v="47"/>
    <n v="47"/>
    <n v="1"/>
    <n v="0"/>
    <n v="19"/>
    <n v="0"/>
    <m/>
    <m/>
    <m/>
    <m/>
    <m/>
    <m/>
    <m/>
  </r>
  <r>
    <s v="Universidad Nacional José Faustino Sánchez CarriónDoctorado en Salud Pública"/>
    <s v="160000028-91-0"/>
    <n v="160000028"/>
    <s v="Universidad Nacional José Faustino Sánchez Carrión"/>
    <s v="UNJFSC"/>
    <s v="Universidad"/>
    <s v="Público"/>
    <s v="Pública"/>
    <s v="LICENCIADA"/>
    <s v="2020 - 2026"/>
    <n v="6"/>
    <s v="HUACHO"/>
    <s v=" HUAURA"/>
    <s v="LIMA"/>
    <s v="LIMA"/>
    <x v="1"/>
    <s v="5. Ciencias Sociales"/>
    <s v="Doctorado en Salud Pública"/>
    <m/>
    <n v="53"/>
    <n v="39"/>
    <m/>
    <m/>
    <m/>
    <m/>
    <m/>
    <m/>
    <m/>
    <m/>
    <m/>
    <s v="2020-1"/>
    <n v="106"/>
    <n v="64"/>
    <n v="42"/>
    <n v="44"/>
    <n v="64"/>
    <n v="26"/>
    <n v="9.9446084938140267"/>
    <m/>
    <m/>
    <m/>
    <n v="0"/>
    <n v="106"/>
    <n v="0"/>
    <n v="0"/>
    <n v="12"/>
    <n v="0"/>
    <n v="0"/>
    <n v="0"/>
    <n v="0"/>
    <n v="0"/>
  </r>
  <r>
    <s v="Universidad Nacional Jorge Basadre GrohmannDoctorado en Administración"/>
    <s v="160000032-17-4"/>
    <n v="160000032"/>
    <s v="Universidad Nacional Jorge Basadre Grohmann"/>
    <s v="UNJBG"/>
    <s v="Universidad"/>
    <s v="Público"/>
    <s v="Pública"/>
    <s v="LICENCIADA"/>
    <s v="2018 - 2024"/>
    <n v="6"/>
    <s v="TACNA"/>
    <s v=" TACNA"/>
    <s v="TACNA"/>
    <s v="COSTA"/>
    <x v="1"/>
    <s v="5. Ciencias Sociales"/>
    <s v="Doctorado en Administración"/>
    <m/>
    <n v="1"/>
    <m/>
    <m/>
    <m/>
    <m/>
    <m/>
    <m/>
    <m/>
    <m/>
    <m/>
    <m/>
    <s v="2020-1"/>
    <n v="2"/>
    <n v="0"/>
    <n v="2"/>
    <n v="44"/>
    <n v="44"/>
    <n v="44"/>
    <n v="0"/>
    <n v="13"/>
    <n v="13"/>
    <n v="1"/>
    <n v="0"/>
    <n v="2"/>
    <n v="0"/>
    <m/>
    <m/>
    <m/>
    <m/>
    <m/>
    <m/>
    <m/>
  </r>
  <r>
    <s v="Universidad Nacional Hermilio Valdizán de HuánucoCiencias Económicas y Sociales, Mención: Economía y Sociología"/>
    <s v="160000023-95-3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5. Ciencias Sociales"/>
    <s v="Ciencias Económicas y Sociales, Mención: Economía y Sociología"/>
    <m/>
    <m/>
    <n v="22"/>
    <n v="24"/>
    <n v="20"/>
    <m/>
    <m/>
    <n v="43"/>
    <m/>
    <n v="21"/>
    <m/>
    <m/>
    <s v="2024-1"/>
    <n v="21"/>
    <n v="2"/>
    <n v="19"/>
    <n v="44.1"/>
    <n v="59"/>
    <n v="28"/>
    <n v="9.7110896998171565"/>
    <m/>
    <m/>
    <m/>
    <n v="0"/>
    <n v="21"/>
    <n v="0"/>
    <m/>
    <m/>
    <m/>
    <m/>
    <m/>
    <m/>
    <m/>
  </r>
  <r>
    <s v="Universidad Andina del CuscoContabilidad"/>
    <s v="260000039-13-4"/>
    <n v="260000039"/>
    <s v="Universidad Andina del Cusco"/>
    <s v="UAC"/>
    <s v="Universidad"/>
    <s v="Privado"/>
    <s v="Asociativa- Sin fines de lucro"/>
    <s v="LICENCIADA"/>
    <s v="2017 - 2023"/>
    <n v="6"/>
    <s v="SAN JERÓNIMO"/>
    <s v=" CUSCO"/>
    <s v="CUSCO"/>
    <s v="SIERRA"/>
    <x v="1"/>
    <s v="5. Ciencias Sociales"/>
    <s v="Contabilidad"/>
    <m/>
    <n v="21"/>
    <m/>
    <m/>
    <m/>
    <m/>
    <m/>
    <m/>
    <n v="19"/>
    <m/>
    <n v="34"/>
    <n v="31"/>
    <s v="2024-2"/>
    <n v="68"/>
    <n v="20"/>
    <n v="48"/>
    <n v="44.235294117647058"/>
    <n v="67"/>
    <n v="67"/>
    <n v="30"/>
    <m/>
    <m/>
    <m/>
    <n v="0"/>
    <n v="68"/>
    <n v="0"/>
    <m/>
    <m/>
    <m/>
    <m/>
    <m/>
    <m/>
    <m/>
  </r>
  <r>
    <s v="Universidad César Vallejo S.A.C.Doctorado en Gestión Pública y Gobernabilidad"/>
    <s v="260000052-72-4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5. Ciencias Sociales"/>
    <s v="Doctorado en Gestión Pública y Gobernabilidad"/>
    <m/>
    <n v="1515"/>
    <n v="1677"/>
    <n v="1834"/>
    <n v="1811"/>
    <n v="1668"/>
    <n v="1483"/>
    <n v="1256"/>
    <n v="1089"/>
    <n v="855"/>
    <m/>
    <m/>
    <s v="2024-1"/>
    <n v="855"/>
    <n v="391"/>
    <n v="464"/>
    <n v="44.432783018867923"/>
    <n v="70"/>
    <n v="24"/>
    <n v="9.7298921483491778"/>
    <n v="499"/>
    <n v="428"/>
    <n v="0.85771543086172342"/>
    <n v="90"/>
    <n v="763"/>
    <n v="0.11795543905635648"/>
    <n v="190"/>
    <n v="195"/>
    <n v="212"/>
    <n v="277"/>
    <n v="0"/>
    <n v="110"/>
    <n v="161"/>
  </r>
  <r>
    <s v="Universidad Nacional del CallaoEducación"/>
    <s v="160000027-62-1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5. Ciencias Sociales"/>
    <s v="Educación"/>
    <m/>
    <n v="13"/>
    <m/>
    <n v="12"/>
    <n v="12"/>
    <n v="11"/>
    <n v="11"/>
    <m/>
    <m/>
    <m/>
    <n v="18"/>
    <n v="39"/>
    <s v="2024-2"/>
    <n v="36"/>
    <n v="10"/>
    <n v="26"/>
    <n v="44.647058823529413"/>
    <n v="60"/>
    <n v="60"/>
    <n v="28"/>
    <n v="20"/>
    <n v="20"/>
    <n v="1"/>
    <n v="0"/>
    <n v="36"/>
    <n v="0"/>
    <n v="0"/>
    <n v="0"/>
    <n v="8"/>
    <n v="0"/>
    <n v="0"/>
    <n v="0"/>
    <n v="0"/>
  </r>
  <r>
    <s v="Universidad Nacional del Centro del PerúDoctorado en Ciencias de la Educación"/>
    <s v="160000010-14-1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5. Ciencias Sociales"/>
    <s v="Doctorado en Ciencias de la Educación"/>
    <m/>
    <n v="313"/>
    <n v="350"/>
    <m/>
    <m/>
    <m/>
    <m/>
    <m/>
    <m/>
    <m/>
    <m/>
    <m/>
    <s v="2020-1"/>
    <n v="626"/>
    <n v="314"/>
    <n v="312"/>
    <n v="44.686900958466452"/>
    <n v="70"/>
    <n v="26"/>
    <n v="8.3903404067162288"/>
    <n v="58"/>
    <n v="58"/>
    <n v="1"/>
    <n v="0"/>
    <n v="626"/>
    <n v="0"/>
    <n v="7"/>
    <n v="34"/>
    <n v="0"/>
    <n v="0"/>
    <n v="0"/>
    <n v="0"/>
    <n v="0"/>
  </r>
  <r>
    <s v="Universidad Nacional José Faustino Sánchez CarriónDoctorado en Administración"/>
    <s v="160000028-85-4"/>
    <n v="160000028"/>
    <s v="Universidad Nacional José Faustino Sánchez Carrión"/>
    <s v="UNJFSC"/>
    <s v="Universidad"/>
    <s v="Público"/>
    <s v="Pública"/>
    <s v="LICENCIADA"/>
    <s v="2020 - 2026"/>
    <n v="6"/>
    <s v="HUACHO"/>
    <s v=" HUAURA"/>
    <s v="LIMA"/>
    <s v="LIMA"/>
    <x v="1"/>
    <s v="5. Ciencias Sociales"/>
    <s v="Doctorado en Administración"/>
    <m/>
    <n v="91"/>
    <n v="93"/>
    <m/>
    <m/>
    <m/>
    <m/>
    <m/>
    <m/>
    <m/>
    <m/>
    <m/>
    <s v="2020-1"/>
    <n v="182"/>
    <n v="58"/>
    <n v="124"/>
    <n v="44.722222222222221"/>
    <n v="69"/>
    <n v="25"/>
    <n v="11.351201819351006"/>
    <n v="25"/>
    <n v="25"/>
    <n v="1"/>
    <n v="2"/>
    <n v="180"/>
    <n v="1.1111111111111112E-2"/>
    <n v="20"/>
    <n v="14"/>
    <n v="14"/>
    <n v="15"/>
    <n v="0"/>
    <n v="0"/>
    <n v="0"/>
  </r>
  <r>
    <s v="Universidad Nacional del CallaoAdministración"/>
    <s v="160000027-58-4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5. Ciencias Sociales"/>
    <s v="Administración"/>
    <m/>
    <n v="71"/>
    <n v="73"/>
    <n v="69"/>
    <n v="62"/>
    <n v="66"/>
    <n v="73"/>
    <n v="71"/>
    <m/>
    <n v="63"/>
    <n v="80"/>
    <n v="94"/>
    <s v="2024-1"/>
    <n v="63"/>
    <n v="16"/>
    <n v="47"/>
    <n v="44.83606557377049"/>
    <n v="70"/>
    <n v="25"/>
    <n v="11.207408751757105"/>
    <n v="49"/>
    <n v="49"/>
    <n v="1"/>
    <n v="1"/>
    <n v="61"/>
    <n v="1.6393442622950821E-2"/>
    <n v="2"/>
    <n v="0"/>
    <n v="12"/>
    <n v="7"/>
    <n v="0"/>
    <n v="15"/>
    <n v="3"/>
  </r>
  <r>
    <s v="Universidad Nacional del CallaoAdministración en Salud"/>
    <s v="160000027-59-4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5. Ciencias Sociales"/>
    <s v="Administración en Salud"/>
    <m/>
    <n v="50"/>
    <n v="59"/>
    <n v="37"/>
    <n v="37"/>
    <n v="59"/>
    <n v="53"/>
    <n v="53"/>
    <m/>
    <n v="72"/>
    <n v="70"/>
    <n v="62"/>
    <s v="2024-1"/>
    <n v="72"/>
    <n v="48"/>
    <n v="24"/>
    <n v="44.888888888888886"/>
    <n v="63"/>
    <n v="27"/>
    <n v="8.8086953767854723"/>
    <n v="20"/>
    <n v="20"/>
    <n v="1"/>
    <n v="0"/>
    <n v="72"/>
    <n v="0"/>
    <n v="3"/>
    <n v="0"/>
    <n v="11"/>
    <n v="9"/>
    <n v="0"/>
    <n v="3"/>
    <n v="2"/>
  </r>
  <r>
    <s v="Universidad César Vallejo S.A.C.Doctorado en Administración"/>
    <s v="260000052-66-4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5. Ciencias Sociales"/>
    <s v="Doctorado en Administración"/>
    <m/>
    <n v="214"/>
    <n v="251"/>
    <n v="261"/>
    <n v="286"/>
    <n v="308"/>
    <n v="276"/>
    <n v="210"/>
    <n v="186"/>
    <n v="148"/>
    <m/>
    <m/>
    <s v="2024-1"/>
    <n v="148"/>
    <n v="55"/>
    <n v="93"/>
    <n v="44.965753424657535"/>
    <n v="68"/>
    <n v="27"/>
    <n v="10.244873829055388"/>
    <n v="86"/>
    <n v="74"/>
    <n v="0.86046511627906974"/>
    <n v="0"/>
    <n v="147"/>
    <n v="0"/>
    <n v="35"/>
    <n v="15"/>
    <n v="29"/>
    <n v="45"/>
    <n v="0"/>
    <n v="32"/>
    <n v="41"/>
  </r>
  <r>
    <s v="Universidad Nacional del SantaDoctorado en Enfermería"/>
    <s v="160000042-10-9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3. Ciencias Médicas y de la Salud"/>
    <s v="Doctorado en Enfermería"/>
    <m/>
    <n v="9"/>
    <n v="6"/>
    <m/>
    <m/>
    <m/>
    <m/>
    <m/>
    <m/>
    <m/>
    <m/>
    <m/>
    <s v="2020-1"/>
    <n v="18"/>
    <n v="18"/>
    <n v="0"/>
    <n v="45.333333333333336"/>
    <n v="64"/>
    <n v="31"/>
    <n v="10.889822555676362"/>
    <m/>
    <m/>
    <m/>
    <n v="0"/>
    <n v="18"/>
    <n v="0"/>
    <m/>
    <m/>
    <m/>
    <m/>
    <m/>
    <m/>
    <m/>
  </r>
  <r>
    <s v="Universidad Nacional Jorge Basadre GrohmannDoctorado en Ciencias Ambientales"/>
    <s v="160000032-18-5"/>
    <n v="160000032"/>
    <s v="Universidad Nacional Jorge Basadre Grohmann"/>
    <s v="UNJBG"/>
    <s v="Universidad"/>
    <s v="Público"/>
    <s v="Pública"/>
    <s v="LICENCIADA"/>
    <s v="2018 - 2024"/>
    <n v="6"/>
    <s v="TACNA"/>
    <s v=" TACNA"/>
    <s v="TACNA"/>
    <s v="COSTA"/>
    <x v="1"/>
    <s v="1. Ciencias Naturales"/>
    <s v="Doctorado en Ciencias Ambientales"/>
    <m/>
    <n v="63"/>
    <n v="61"/>
    <m/>
    <m/>
    <m/>
    <m/>
    <m/>
    <m/>
    <m/>
    <m/>
    <m/>
    <s v="2020-1"/>
    <n v="126"/>
    <n v="46"/>
    <n v="80"/>
    <n v="45.428571428571431"/>
    <n v="68"/>
    <n v="27"/>
    <n v="10.399560430270938"/>
    <n v="28"/>
    <n v="28"/>
    <n v="1"/>
    <n v="0"/>
    <n v="126"/>
    <n v="0"/>
    <m/>
    <m/>
    <m/>
    <m/>
    <m/>
    <m/>
    <m/>
  </r>
  <r>
    <s v="Universidad Femenina del Sagrado CorazónDoctorado en Educación"/>
    <s v="260000020-19-1"/>
    <n v="260000020"/>
    <s v="Universidad Femenina del Sagrado Corazón"/>
    <s v="UNIFE"/>
    <s v="Universidad"/>
    <s v="Privado"/>
    <s v="Asociativa- Sin fines de lucro"/>
    <s v="LICENCIADA"/>
    <s v="2016 - 2022"/>
    <n v="6"/>
    <s v="LA MOLINA"/>
    <s v=" LIMA"/>
    <s v="LIMA"/>
    <s v="LIMA"/>
    <x v="1"/>
    <s v="5. Ciencias Sociales"/>
    <s v="Doctorado en Educación"/>
    <m/>
    <m/>
    <n v="77"/>
    <n v="79"/>
    <n v="85"/>
    <n v="68"/>
    <n v="53"/>
    <n v="50"/>
    <n v="43"/>
    <n v="41"/>
    <n v="32"/>
    <n v="37"/>
    <s v="2024-1"/>
    <n v="41"/>
    <n v="40"/>
    <n v="1"/>
    <n v="45.536585365853661"/>
    <n v="70"/>
    <n v="27"/>
    <n v="10.700695213339209"/>
    <n v="14"/>
    <n v="13"/>
    <n v="0.9285714285714286"/>
    <n v="1"/>
    <n v="40"/>
    <n v="2.5000000000000001E-2"/>
    <n v="8"/>
    <n v="10"/>
    <n v="10"/>
    <n v="14"/>
    <n v="0"/>
    <n v="6"/>
    <n v="6"/>
  </r>
  <r>
    <s v="Universidad Nacional del SantaDoctorado en Matemática"/>
    <s v="160000042-21-5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1. Ciencias Naturales"/>
    <s v="Doctorado en Matemática"/>
    <m/>
    <n v="62"/>
    <n v="53"/>
    <m/>
    <m/>
    <m/>
    <m/>
    <m/>
    <m/>
    <m/>
    <m/>
    <m/>
    <s v="2020-1"/>
    <n v="124"/>
    <n v="14"/>
    <n v="110"/>
    <n v="45.606557377049178"/>
    <n v="69"/>
    <n v="29"/>
    <n v="9.5299071453587594"/>
    <m/>
    <m/>
    <m/>
    <n v="0"/>
    <n v="124"/>
    <n v="0"/>
    <m/>
    <m/>
    <m/>
    <m/>
    <m/>
    <m/>
    <m/>
  </r>
  <r>
    <s v="Universidad Nacional de UcayaliDoctorado en Administración"/>
    <s v="160000035-8-4"/>
    <n v="160000035"/>
    <s v="Universidad Nacional de Ucayali"/>
    <s v="UNU"/>
    <s v="Universidad"/>
    <s v="Público"/>
    <s v="Pública"/>
    <s v="LICENCIADA"/>
    <s v="2018 - 2024"/>
    <n v="6"/>
    <s v="CALLERIA"/>
    <s v=" CORONEL PORTILLO"/>
    <s v="UCAYALI"/>
    <s v="SELVA"/>
    <x v="1"/>
    <s v="5. Ciencias Sociales"/>
    <s v="Doctorado en Administración"/>
    <m/>
    <n v="76"/>
    <m/>
    <m/>
    <m/>
    <m/>
    <m/>
    <m/>
    <m/>
    <m/>
    <m/>
    <m/>
    <s v="2020-1"/>
    <n v="152"/>
    <n v="36"/>
    <n v="116"/>
    <n v="45.608108108108105"/>
    <n v="66"/>
    <n v="28"/>
    <n v="9.5814695982246203"/>
    <m/>
    <m/>
    <m/>
    <n v="0"/>
    <n v="150"/>
    <n v="0"/>
    <m/>
    <m/>
    <m/>
    <m/>
    <m/>
    <m/>
    <m/>
  </r>
  <r>
    <s v="Universidad Nacional del CallaoIngeniería Eléctrica"/>
    <s v="160000027-64-7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2. Ingeniería y Tecnología"/>
    <s v="Ingeniería Eléctrica"/>
    <m/>
    <n v="53"/>
    <n v="56"/>
    <n v="44"/>
    <n v="36"/>
    <n v="49"/>
    <n v="62"/>
    <n v="60"/>
    <m/>
    <n v="49"/>
    <n v="62"/>
    <n v="77"/>
    <s v="2024-1"/>
    <n v="49"/>
    <n v="0"/>
    <n v="49"/>
    <n v="45.804347826086953"/>
    <n v="66"/>
    <n v="30"/>
    <n v="9.6784286264004926"/>
    <n v="30"/>
    <n v="30"/>
    <n v="1"/>
    <n v="1"/>
    <n v="48"/>
    <n v="2.0833333333333332E-2"/>
    <n v="0"/>
    <n v="0"/>
    <n v="3"/>
    <n v="3"/>
    <n v="0"/>
    <n v="3"/>
    <n v="5"/>
  </r>
  <r>
    <s v="Universidad Católica de Trujillo Benedicto XVIDoctorado en Psicología"/>
    <s v="26000074A-162-"/>
    <s v="26000074A"/>
    <s v="Universidad Católica de Trujillo Benedicto XVI"/>
    <s v="UCT"/>
    <s v="Universidad"/>
    <s v="Privado"/>
    <s v="Asociativa- Sin fines de lucro"/>
    <s v="LICENCIADA"/>
    <s v="2019 - 2025"/>
    <n v="6"/>
    <s v="MOCHE"/>
    <s v=" TRUJILLO"/>
    <s v="LA LIBERTAD"/>
    <s v="COSTA"/>
    <x v="1"/>
    <s v="5. Ciencias Sociales"/>
    <s v="Doctorado en Psicología"/>
    <m/>
    <m/>
    <m/>
    <m/>
    <m/>
    <m/>
    <m/>
    <m/>
    <m/>
    <n v="10"/>
    <m/>
    <m/>
    <s v="2024-1"/>
    <n v="10"/>
    <n v="5"/>
    <n v="5"/>
    <n v="45.9"/>
    <n v="64"/>
    <n v="33"/>
    <n v="11.090035567521371"/>
    <n v="16"/>
    <n v="15"/>
    <n v="0.9375"/>
    <n v="0"/>
    <n v="10"/>
    <n v="0"/>
    <m/>
    <m/>
    <m/>
    <m/>
    <m/>
    <m/>
    <m/>
  </r>
  <r>
    <s v="Universidad Privada de TacnaDoctorado en Arquitectura y Dinámicas Urbanas"/>
    <s v="260000043-7-7"/>
    <n v="260000043"/>
    <s v="Universidad Privada de Tacna"/>
    <s v="UPT"/>
    <s v="Universidad"/>
    <s v="Privado"/>
    <s v="Asociativa- Sin fines de lucro"/>
    <s v="LICENCIADA"/>
    <s v="2017 - 2023"/>
    <n v="6"/>
    <s v="POCOLLAY"/>
    <s v=" TACNA"/>
    <s v="TACNA"/>
    <s v="COSTA"/>
    <x v="1"/>
    <s v="2. Ingeniería y Tecnología"/>
    <s v="Doctorado en Arquitectura y Dinámicas Urbanas"/>
    <m/>
    <n v="13"/>
    <n v="11"/>
    <m/>
    <m/>
    <m/>
    <m/>
    <m/>
    <m/>
    <m/>
    <m/>
    <m/>
    <s v="2020-1"/>
    <n v="26"/>
    <n v="16"/>
    <n v="10"/>
    <n v="46"/>
    <n v="66"/>
    <n v="30"/>
    <n v="11.696153213770756"/>
    <m/>
    <m/>
    <m/>
    <n v="0"/>
    <n v="26"/>
    <n v="0"/>
    <m/>
    <m/>
    <m/>
    <m/>
    <m/>
    <m/>
    <m/>
  </r>
  <r>
    <s v="Universidad Nacional del Centro del PerúDoctorado en Ingeniería Química y Ambiental"/>
    <s v="160000010-18-5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1. Ciencias Naturales"/>
    <s v="Doctorado en Ingeniería Química y Ambiental"/>
    <m/>
    <n v="26"/>
    <n v="28"/>
    <m/>
    <m/>
    <m/>
    <m/>
    <m/>
    <m/>
    <m/>
    <m/>
    <m/>
    <s v="2020-1"/>
    <n v="52"/>
    <n v="14"/>
    <n v="38"/>
    <n v="46.115384615384613"/>
    <n v="64"/>
    <n v="27"/>
    <n v="12.118133950299676"/>
    <n v="4"/>
    <n v="4"/>
    <n v="1"/>
    <n v="0"/>
    <n v="52"/>
    <n v="0"/>
    <m/>
    <m/>
    <m/>
    <m/>
    <m/>
    <m/>
    <m/>
  </r>
  <r>
    <s v="Universidad Católica de Trujillo Benedicto XVIDoctorado en Ciencias de la Educación"/>
    <s v="26000074A-165-"/>
    <s v="26000074A"/>
    <s v="Universidad Católica de Trujillo Benedicto XVI"/>
    <s v="UCT"/>
    <s v="Universidad"/>
    <s v="Privado"/>
    <s v="Asociativa- Sin fines de lucro"/>
    <s v="LICENCIADA"/>
    <s v="2019 - 2025"/>
    <n v="6"/>
    <s v="MOCHE"/>
    <s v=" TRUJILLO"/>
    <s v="LA LIBERTAD"/>
    <s v="COSTA"/>
    <x v="1"/>
    <s v="5. Ciencias Sociales"/>
    <s v="Doctorado en Ciencias de la Educación"/>
    <m/>
    <m/>
    <m/>
    <m/>
    <m/>
    <m/>
    <m/>
    <m/>
    <m/>
    <n v="45"/>
    <m/>
    <m/>
    <s v="2024-1"/>
    <n v="45"/>
    <n v="18"/>
    <n v="27"/>
    <n v="46.177777777777777"/>
    <n v="60"/>
    <n v="30"/>
    <n v="8.0940182426982119"/>
    <n v="72"/>
    <n v="71"/>
    <n v="0.98611111111111116"/>
    <n v="1"/>
    <n v="44"/>
    <n v="2.2727272727272728E-2"/>
    <m/>
    <m/>
    <m/>
    <m/>
    <m/>
    <m/>
    <m/>
  </r>
  <r>
    <s v="Universidad Nacional del SantaDoctorado en Educación"/>
    <s v="160000042-9-1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5. Ciencias Sociales"/>
    <s v="Doctorado en Educación"/>
    <m/>
    <n v="20"/>
    <n v="16"/>
    <m/>
    <m/>
    <m/>
    <m/>
    <m/>
    <m/>
    <m/>
    <m/>
    <m/>
    <s v="2020-1"/>
    <n v="40"/>
    <n v="24"/>
    <n v="16"/>
    <n v="46.25"/>
    <n v="59"/>
    <n v="30"/>
    <n v="9.1251975742572711"/>
    <m/>
    <m/>
    <m/>
    <n v="0"/>
    <n v="40"/>
    <n v="0"/>
    <m/>
    <m/>
    <m/>
    <m/>
    <m/>
    <m/>
    <m/>
  </r>
  <r>
    <s v="Universidad Nacional del SantaDoctorado en Estadística Matemática"/>
    <s v="160000042-11-5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1. Ciencias Naturales"/>
    <s v="Doctorado en Estadística Matemática"/>
    <m/>
    <n v="37"/>
    <n v="38"/>
    <m/>
    <m/>
    <m/>
    <m/>
    <m/>
    <m/>
    <m/>
    <m/>
    <m/>
    <s v="2020-1"/>
    <n v="74"/>
    <n v="20"/>
    <n v="54"/>
    <n v="46.567567567567565"/>
    <n v="67"/>
    <n v="27"/>
    <n v="8.5481409996657494"/>
    <m/>
    <m/>
    <m/>
    <n v="0"/>
    <n v="74"/>
    <n v="0"/>
    <m/>
    <m/>
    <m/>
    <m/>
    <m/>
    <m/>
    <m/>
  </r>
  <r>
    <s v="Universidad César Vallejo S.A.C.Doctorado en Educación"/>
    <s v="260000052-71-1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5. Ciencias Sociales"/>
    <s v="Doctorado en Educación"/>
    <m/>
    <n v="2152"/>
    <n v="2282"/>
    <n v="2994"/>
    <n v="2747"/>
    <n v="2394"/>
    <n v="2280"/>
    <n v="1872"/>
    <n v="1542"/>
    <n v="942"/>
    <m/>
    <m/>
    <s v="2024-1"/>
    <n v="942"/>
    <n v="579"/>
    <n v="363"/>
    <n v="46.656716417910445"/>
    <n v="70"/>
    <n v="24"/>
    <n v="8.9835294971886874"/>
    <n v="595"/>
    <n v="489"/>
    <n v="0.82184873949579829"/>
    <n v="184"/>
    <n v="757"/>
    <n v="0.24306472919418759"/>
    <n v="191"/>
    <n v="354"/>
    <n v="296"/>
    <n v="622"/>
    <n v="0"/>
    <n v="137"/>
    <n v="189"/>
  </r>
  <r>
    <s v="Universidad Nacional del SantaDoctorado en Ingeniería de Sistemas e Informática"/>
    <s v="160000042-17-6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1. Ciencias Naturales"/>
    <s v="Doctorado en Ingeniería de Sistemas e Informática"/>
    <m/>
    <n v="9"/>
    <n v="14"/>
    <m/>
    <m/>
    <m/>
    <m/>
    <m/>
    <m/>
    <m/>
    <m/>
    <m/>
    <s v="2020-1"/>
    <n v="18"/>
    <n v="2"/>
    <n v="16"/>
    <n v="46.777777777777779"/>
    <n v="58"/>
    <n v="36"/>
    <n v="5.9759868055956664"/>
    <m/>
    <m/>
    <m/>
    <n v="0"/>
    <n v="18"/>
    <n v="0"/>
    <m/>
    <m/>
    <m/>
    <m/>
    <m/>
    <m/>
    <m/>
  </r>
  <r>
    <s v="Universidad Nacional de UcayaliDoctorado en Educación"/>
    <s v="160000035-9-1"/>
    <n v="160000035"/>
    <s v="Universidad Nacional de Ucayali"/>
    <s v="UNU"/>
    <s v="Universidad"/>
    <s v="Público"/>
    <s v="Pública"/>
    <s v="LICENCIADA"/>
    <s v="2018 - 2024"/>
    <n v="6"/>
    <s v="CALLERIA"/>
    <s v=" CORONEL PORTILLO"/>
    <s v="UCAYALI"/>
    <s v="SELVA"/>
    <x v="1"/>
    <s v="5. Ciencias Sociales"/>
    <s v="Doctorado en Educación"/>
    <m/>
    <n v="16"/>
    <m/>
    <m/>
    <m/>
    <m/>
    <m/>
    <m/>
    <m/>
    <m/>
    <m/>
    <m/>
    <s v="2020-1"/>
    <n v="32"/>
    <n v="16"/>
    <n v="16"/>
    <n v="47.25"/>
    <n v="57"/>
    <n v="33"/>
    <n v="6.2990014569643265"/>
    <m/>
    <m/>
    <m/>
    <n v="0"/>
    <n v="32"/>
    <n v="0"/>
    <m/>
    <m/>
    <m/>
    <m/>
    <m/>
    <m/>
    <m/>
  </r>
  <r>
    <s v="Universidad Nacional del CallaoCiencias Contables"/>
    <s v="160000027-60-4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5. Ciencias Sociales"/>
    <s v="Ciencias Contables"/>
    <m/>
    <n v="32"/>
    <n v="29"/>
    <n v="48"/>
    <n v="46"/>
    <n v="62"/>
    <n v="58"/>
    <n v="55"/>
    <m/>
    <n v="43"/>
    <n v="29"/>
    <n v="29"/>
    <s v="2024-1"/>
    <n v="43"/>
    <n v="13"/>
    <n v="30"/>
    <n v="47.30952380952381"/>
    <n v="68"/>
    <n v="33"/>
    <n v="9.2406527465512927"/>
    <n v="13"/>
    <n v="13"/>
    <n v="1"/>
    <n v="0"/>
    <n v="43"/>
    <n v="0"/>
    <n v="0"/>
    <n v="0"/>
    <n v="7"/>
    <n v="2"/>
    <n v="0"/>
    <n v="3"/>
    <n v="2"/>
  </r>
  <r>
    <s v="Universidad Nacional del SantaDoctorado en Medio Ambiente y Desarrollo Sustentable"/>
    <s v="160000042-22-5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1. Ciencias Naturales"/>
    <s v="Doctorado en Medio Ambiente y Desarrollo Sustentable"/>
    <m/>
    <n v="9"/>
    <n v="2"/>
    <m/>
    <m/>
    <m/>
    <m/>
    <m/>
    <m/>
    <m/>
    <m/>
    <m/>
    <s v="2020-1"/>
    <n v="18"/>
    <n v="2"/>
    <n v="16"/>
    <n v="47.333333333333336"/>
    <n v="62"/>
    <n v="35"/>
    <n v="8.2176281106354452"/>
    <m/>
    <m/>
    <m/>
    <n v="0"/>
    <n v="18"/>
    <n v="0"/>
    <m/>
    <m/>
    <m/>
    <m/>
    <m/>
    <m/>
    <m/>
  </r>
  <r>
    <s v="Universidad César Vallejo S.A.C.Doctorado en Arquitectura"/>
    <s v="260000052-68-7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2. Ingeniería y Tecnología"/>
    <s v="Doctorado en Arquitectura"/>
    <m/>
    <n v="43"/>
    <n v="70"/>
    <n v="61"/>
    <n v="57"/>
    <n v="84"/>
    <n v="65"/>
    <n v="67"/>
    <n v="40"/>
    <n v="18"/>
    <m/>
    <m/>
    <s v="2024-1"/>
    <n v="18"/>
    <n v="9"/>
    <n v="9"/>
    <n v="47.823529411764703"/>
    <n v="69"/>
    <n v="31"/>
    <n v="10.84686183947716"/>
    <m/>
    <m/>
    <m/>
    <n v="0"/>
    <n v="18"/>
    <n v="0"/>
    <n v="6"/>
    <n v="1"/>
    <n v="18"/>
    <n v="17"/>
    <n v="0"/>
    <n v="1"/>
    <n v="19"/>
  </r>
  <r>
    <s v="Universidad Andina del CuscoCiencias de la Educación"/>
    <s v="260000039-7-1"/>
    <n v="260000039"/>
    <s v="Universidad Andina del Cusco"/>
    <s v="UAC"/>
    <s v="Universidad"/>
    <s v="Privado"/>
    <s v="Asociativa- Sin fines de lucro"/>
    <s v="LICENCIADA"/>
    <s v="2017 - 2023"/>
    <n v="6"/>
    <s v="SAN JERÓNIMO"/>
    <s v=" CUSCO"/>
    <s v="CUSCO"/>
    <s v="SIERRA"/>
    <x v="1"/>
    <s v="5. Ciencias Sociales"/>
    <s v="Ciencias de la Educación"/>
    <m/>
    <n v="82"/>
    <n v="130"/>
    <n v="94"/>
    <n v="189"/>
    <n v="89"/>
    <n v="156"/>
    <n v="49"/>
    <n v="110"/>
    <m/>
    <n v="92"/>
    <n v="50"/>
    <s v="2024-2"/>
    <n v="184"/>
    <n v="104"/>
    <n v="80"/>
    <n v="48.717391304347828"/>
    <n v="66"/>
    <n v="66"/>
    <n v="27"/>
    <n v="37"/>
    <n v="37"/>
    <n v="1"/>
    <n v="0"/>
    <n v="184"/>
    <n v="0"/>
    <n v="1"/>
    <n v="27"/>
    <n v="16"/>
    <n v="0"/>
    <n v="20"/>
    <n v="0"/>
    <n v="16"/>
  </r>
  <r>
    <s v="Universidad Nacional José Faustino Sánchez CarriónDoctorado en Ciencias Ambientales"/>
    <s v="160000028-87-5"/>
    <n v="160000028"/>
    <s v="Universidad Nacional José Faustino Sánchez Carrión"/>
    <s v="UNJFSC"/>
    <s v="Universidad"/>
    <s v="Público"/>
    <s v="Pública"/>
    <s v="LICENCIADA"/>
    <s v="2020 - 2026"/>
    <n v="6"/>
    <s v="HUACHO"/>
    <s v=" HUAURA"/>
    <s v="LIMA"/>
    <s v="LIMA"/>
    <x v="1"/>
    <s v="1. Ciencias Naturales"/>
    <s v="Doctorado en Ciencias Ambientales"/>
    <m/>
    <n v="30"/>
    <n v="43"/>
    <m/>
    <m/>
    <m/>
    <m/>
    <m/>
    <m/>
    <m/>
    <m/>
    <m/>
    <s v="2020-1"/>
    <n v="60"/>
    <n v="16"/>
    <n v="44"/>
    <n v="48.8"/>
    <n v="70"/>
    <n v="30"/>
    <n v="9.4614292825025501"/>
    <m/>
    <m/>
    <m/>
    <n v="0"/>
    <n v="60"/>
    <n v="0"/>
    <n v="0"/>
    <n v="0"/>
    <n v="10"/>
    <n v="0"/>
    <n v="0"/>
    <n v="0"/>
    <n v="0"/>
  </r>
  <r>
    <s v="Universidad Nacional del CallaoIngeniería Industrial"/>
    <s v="160000027-95-7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2. Ingeniería y Tecnología"/>
    <s v="Ingeniería Industrial"/>
    <m/>
    <m/>
    <m/>
    <m/>
    <m/>
    <m/>
    <m/>
    <m/>
    <m/>
    <n v="27"/>
    <n v="44"/>
    <n v="73"/>
    <s v="2024-1"/>
    <n v="27"/>
    <n v="5"/>
    <n v="22"/>
    <n v="48.851851851851855"/>
    <n v="69"/>
    <n v="29"/>
    <n v="11.857174730625868"/>
    <n v="37"/>
    <n v="37"/>
    <n v="1"/>
    <n v="0"/>
    <n v="27"/>
    <n v="0"/>
    <m/>
    <m/>
    <m/>
    <m/>
    <m/>
    <m/>
    <m/>
  </r>
  <r>
    <s v="Universidad Nacional Jorge Basadre GrohmannDoctorado en Ciencias Contables y Financieras"/>
    <s v="160000032-19-4"/>
    <n v="160000032"/>
    <s v="Universidad Nacional Jorge Basadre Grohmann"/>
    <s v="UNJBG"/>
    <s v="Universidad"/>
    <s v="Público"/>
    <s v="Pública"/>
    <s v="LICENCIADA"/>
    <s v="2018 - 2024"/>
    <n v="6"/>
    <s v="TACNA"/>
    <s v=" TACNA"/>
    <s v="TACNA"/>
    <s v="COSTA"/>
    <x v="1"/>
    <s v="5. Ciencias Sociales"/>
    <s v="Doctorado en Ciencias Contables y Financieras"/>
    <m/>
    <m/>
    <n v="1"/>
    <m/>
    <m/>
    <m/>
    <m/>
    <m/>
    <m/>
    <m/>
    <m/>
    <m/>
    <s v="2020-2"/>
    <n v="2"/>
    <n v="0"/>
    <n v="2"/>
    <n v="49"/>
    <n v="49"/>
    <n v="49"/>
    <n v="0"/>
    <m/>
    <m/>
    <m/>
    <n v="0"/>
    <n v="2"/>
    <n v="0"/>
    <m/>
    <m/>
    <m/>
    <m/>
    <m/>
    <m/>
    <m/>
  </r>
  <r>
    <s v="Universidad Peruana Los AndesDoctorado en Educación"/>
    <s v="260000037-58-1"/>
    <n v="260000037"/>
    <s v="Universidad Peruana Los Andes"/>
    <s v="UPLA"/>
    <s v="Universidad"/>
    <s v="Privado"/>
    <s v="Asociativa- Sin fines de lucro"/>
    <s v="LICENCIADA"/>
    <s v="2020 - 2026"/>
    <n v="6"/>
    <s v="HUANCAYO"/>
    <s v=" HUANCAYO"/>
    <s v="JUNÍN"/>
    <s v="SIERRA"/>
    <x v="1"/>
    <s v="5. Ciencias Sociales"/>
    <s v="Doctorado en Educación"/>
    <m/>
    <n v="14"/>
    <n v="13"/>
    <n v="13"/>
    <n v="13"/>
    <m/>
    <m/>
    <m/>
    <m/>
    <m/>
    <m/>
    <m/>
    <s v="2021-2"/>
    <n v="26"/>
    <n v="12"/>
    <n v="14"/>
    <n v="49.363636363636367"/>
    <n v="60"/>
    <n v="41"/>
    <n v="5.9725200435825911"/>
    <m/>
    <m/>
    <m/>
    <n v="0"/>
    <n v="26"/>
    <n v="0"/>
    <m/>
    <m/>
    <m/>
    <m/>
    <m/>
    <m/>
    <m/>
  </r>
  <r>
    <s v="Universidad César Vallejo S.A.C.Doctorado en Gestión Universitaria"/>
    <s v="260000052-73-1"/>
    <n v="260000052"/>
    <s v="Universidad César Vallejo S.A.C."/>
    <s v="UCV"/>
    <s v="Universidad"/>
    <s v="Privado"/>
    <s v="Societaria- Con fines de lucro"/>
    <s v="LICENCIADA"/>
    <s v="2019 - 2025"/>
    <n v="6"/>
    <s v="VICTOR LARCO HERRERA"/>
    <s v=" TRUJILLO"/>
    <s v="LA LIBERTAD"/>
    <s v="COSTA"/>
    <x v="1"/>
    <s v="5. Ciencias Sociales"/>
    <s v="Doctorado en Gestión Universitaria"/>
    <m/>
    <m/>
    <m/>
    <m/>
    <m/>
    <n v="25"/>
    <m/>
    <m/>
    <m/>
    <m/>
    <m/>
    <m/>
    <s v="2022-1"/>
    <n v="50"/>
    <n v="28"/>
    <n v="22"/>
    <n v="49.44"/>
    <n v="67"/>
    <n v="35"/>
    <n v="7.3849267333632369"/>
    <m/>
    <m/>
    <m/>
    <n v="2"/>
    <n v="48"/>
    <n v="4.1666666666666664E-2"/>
    <m/>
    <m/>
    <m/>
    <m/>
    <m/>
    <m/>
    <m/>
  </r>
  <r>
    <s v="Universidad Marcelino ChampagnatDoctorado en Ciencias de la Educación"/>
    <s v="260000049-4-1"/>
    <n v="260000049"/>
    <s v="Universidad Marcelino Champagnat"/>
    <s v="UMCH"/>
    <s v="Universidad"/>
    <s v="Privado"/>
    <s v="Asociativa- Sin fines de lucro"/>
    <s v="LICENCIADA"/>
    <s v="2017 - 2023"/>
    <n v="6"/>
    <s v="SANTIAGO DE SURCO"/>
    <s v=" LIMA"/>
    <s v="LIMA"/>
    <s v="LIMA"/>
    <x v="1"/>
    <s v="5. Ciencias Sociales"/>
    <s v="Doctorado en Ciencias de la Educación"/>
    <m/>
    <m/>
    <n v="37"/>
    <n v="32"/>
    <n v="44"/>
    <n v="44"/>
    <n v="39"/>
    <m/>
    <m/>
    <m/>
    <m/>
    <m/>
    <s v="2022-1"/>
    <n v="88"/>
    <n v="48"/>
    <n v="40"/>
    <n v="50.069767441860463"/>
    <n v="67"/>
    <n v="32"/>
    <n v="8.0830842943758903"/>
    <n v="21"/>
    <n v="21"/>
    <n v="1"/>
    <n v="4"/>
    <n v="84"/>
    <n v="4.7619047619047616E-2"/>
    <m/>
    <m/>
    <m/>
    <m/>
    <m/>
    <m/>
    <m/>
  </r>
  <r>
    <s v="Universidad Nacional del CallaoEnfermería"/>
    <s v="160000027-63-9"/>
    <n v="160000027"/>
    <s v="Universidad Nacional del Callao"/>
    <s v="UNAC"/>
    <s v="Universidad"/>
    <s v="Público"/>
    <s v="Pública"/>
    <s v="LICENCIADA"/>
    <s v="2019 - 2025"/>
    <n v="6"/>
    <s v="BELLAVISTA"/>
    <s v=" PROV. CONST. DEL CALLAO"/>
    <s v="CALLAO"/>
    <s v="LIMA"/>
    <x v="1"/>
    <s v="3. Ciencias Médicas y de la Salud"/>
    <s v="Enfermería"/>
    <m/>
    <n v="17"/>
    <n v="17"/>
    <m/>
    <m/>
    <n v="15"/>
    <m/>
    <m/>
    <m/>
    <m/>
    <m/>
    <m/>
    <s v="2022-1"/>
    <n v="30"/>
    <n v="20"/>
    <n v="10"/>
    <n v="50.733333333333334"/>
    <n v="70"/>
    <n v="33"/>
    <n v="9.8713564498968225"/>
    <m/>
    <m/>
    <m/>
    <n v="0"/>
    <n v="30"/>
    <n v="0"/>
    <n v="0"/>
    <n v="0"/>
    <n v="2"/>
    <n v="1"/>
    <n v="0"/>
    <n v="0"/>
    <n v="0"/>
  </r>
  <r>
    <s v="Universidad Peruana Los AndesDoctorado en Ciencias Contables"/>
    <s v="260000037-55-4"/>
    <n v="260000037"/>
    <s v="Universidad Peruana Los Andes"/>
    <s v="UPLA"/>
    <s v="Universidad"/>
    <s v="Privado"/>
    <s v="Asociativa- Sin fines de lucro"/>
    <s v="LICENCIADA"/>
    <s v="2020 - 2026"/>
    <n v="6"/>
    <s v="HUANCAYO"/>
    <s v=" HUANCAYO"/>
    <s v="JUNÍN"/>
    <s v="SIERRA"/>
    <x v="1"/>
    <s v="5. Ciencias Sociales"/>
    <s v="Doctorado en Ciencias Contables"/>
    <m/>
    <n v="35"/>
    <n v="35"/>
    <n v="34"/>
    <n v="20"/>
    <m/>
    <m/>
    <m/>
    <m/>
    <m/>
    <m/>
    <m/>
    <s v="2021-2"/>
    <n v="40"/>
    <n v="20"/>
    <n v="20"/>
    <n v="50.9"/>
    <n v="62"/>
    <n v="36"/>
    <n v="8.4604661325181922"/>
    <m/>
    <m/>
    <m/>
    <n v="0"/>
    <n v="40"/>
    <n v="0"/>
    <m/>
    <m/>
    <m/>
    <m/>
    <m/>
    <m/>
    <m/>
  </r>
  <r>
    <s v="Universidad Privada Norbert Wiener S.A.Doctorado en Educación"/>
    <s v="260000061-51-1"/>
    <n v="260000061"/>
    <s v="Universidad Privada Norbert Wiener S.A."/>
    <s v="UWIENER"/>
    <s v="Universidad"/>
    <s v="Privado"/>
    <s v="Societaria- Con fines de lucro"/>
    <s v="LICENCIADA"/>
    <s v="2019 - 2025"/>
    <n v="6"/>
    <s v="LIMA"/>
    <s v="LIMA"/>
    <s v="LIMA"/>
    <s v="LIMA"/>
    <x v="1"/>
    <s v="5. Ciencias Sociales"/>
    <s v="Doctorado en Educación"/>
    <m/>
    <m/>
    <m/>
    <m/>
    <n v="12"/>
    <m/>
    <m/>
    <m/>
    <m/>
    <m/>
    <m/>
    <m/>
    <s v="2021-2"/>
    <n v="24"/>
    <n v="14"/>
    <n v="10"/>
    <n v="53.363636363636367"/>
    <n v="69"/>
    <n v="33"/>
    <n v="9.1783671882543665"/>
    <m/>
    <m/>
    <m/>
    <n v="0"/>
    <n v="24"/>
    <n v="0"/>
    <m/>
    <m/>
    <m/>
    <m/>
    <m/>
    <m/>
    <m/>
  </r>
  <r>
    <s v="Universidad Nacional José Faustino Sánchez CarriónDoctorado en Contabilidad"/>
    <s v="160000028-89-4"/>
    <n v="160000028"/>
    <s v="Universidad Nacional José Faustino Sánchez Carrión"/>
    <s v="UNJFSC"/>
    <s v="Universidad"/>
    <s v="Público"/>
    <s v="Pública"/>
    <s v="LICENCIADA"/>
    <s v="2020 - 2026"/>
    <n v="6"/>
    <s v="HUACHO"/>
    <s v=" HUAURA"/>
    <s v="LIMA"/>
    <s v="LIMA"/>
    <x v="1"/>
    <s v="5. Ciencias Sociales"/>
    <s v="Doctorado en Contabilidad"/>
    <m/>
    <n v="11"/>
    <n v="9"/>
    <m/>
    <m/>
    <m/>
    <m/>
    <m/>
    <m/>
    <m/>
    <m/>
    <m/>
    <s v="2020-1"/>
    <n v="22"/>
    <n v="8"/>
    <n v="14"/>
    <n v="53.81818181818182"/>
    <n v="66"/>
    <n v="42"/>
    <n v="6.7867964505063867"/>
    <m/>
    <m/>
    <m/>
    <n v="0"/>
    <n v="22"/>
    <n v="0"/>
    <n v="0"/>
    <n v="0"/>
    <n v="0"/>
    <n v="12"/>
    <n v="0"/>
    <n v="0"/>
    <n v="0"/>
  </r>
  <r>
    <s v="Universidad Nacional del SantaDoctorado en Biotecnología"/>
    <s v="160000042-7-5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1. Ciencias Naturales"/>
    <s v="Doctorado en Biotecnología"/>
    <m/>
    <n v="5"/>
    <n v="5"/>
    <m/>
    <m/>
    <m/>
    <m/>
    <m/>
    <m/>
    <m/>
    <m/>
    <m/>
    <s v="2020-1"/>
    <n v="10"/>
    <n v="4"/>
    <n v="6"/>
    <n v="56.2"/>
    <n v="67"/>
    <n v="48"/>
    <n v="7.7574337108207123"/>
    <m/>
    <m/>
    <m/>
    <n v="0"/>
    <n v="10"/>
    <n v="0"/>
    <m/>
    <m/>
    <m/>
    <m/>
    <m/>
    <m/>
    <m/>
  </r>
  <r>
    <s v="Universidad Nacional Hermilio Valdizán de HuánucoMedicina Veterinaria"/>
    <s v="160000023-99-8"/>
    <n v="160000023"/>
    <s v="Universidad Nacional Hermilio Valdizán de Huánuco"/>
    <s v="UNHEVAL"/>
    <s v="Universidad"/>
    <s v="Público"/>
    <s v="Pública"/>
    <s v="LICENCIADA"/>
    <s v="2019 - 2025"/>
    <n v="6"/>
    <s v="PILLCO MARCA"/>
    <s v=" HUÁNUCO"/>
    <s v="HUÁNUCO"/>
    <s v="SIERRA"/>
    <x v="1"/>
    <s v="4. Ciencias Agrícolas"/>
    <s v="Medicina Veterinaria"/>
    <m/>
    <m/>
    <m/>
    <m/>
    <n v="1"/>
    <m/>
    <m/>
    <m/>
    <m/>
    <m/>
    <m/>
    <m/>
    <s v="2021-2"/>
    <n v="2"/>
    <n v="0"/>
    <n v="2"/>
    <n v="63"/>
    <n v="63"/>
    <n v="63"/>
    <n v="0"/>
    <m/>
    <m/>
    <m/>
    <n v="0"/>
    <n v="2"/>
    <n v="0"/>
    <m/>
    <m/>
    <m/>
    <m/>
    <m/>
    <m/>
    <m/>
  </r>
  <r>
    <s v="Universidad Nacional de CañeteDoctorado en Administración"/>
    <s v="160000122-8-"/>
    <n v="160000122"/>
    <s v="Universidad Nacional de Cañete"/>
    <s v="UNDC"/>
    <s v="Universidad"/>
    <s v="Público"/>
    <s v="Pública"/>
    <s v="LICENCIADA"/>
    <s v="2018 - 2024"/>
    <n v="6"/>
    <s v="SAN VICENTE DE CAÑETE"/>
    <s v=" CAÑETE"/>
    <s v="LIMA"/>
    <s v="LIMA"/>
    <x v="1"/>
    <s v="5. Ciencias Sociales"/>
    <s v="Doctorado en Administración"/>
    <m/>
    <m/>
    <m/>
    <m/>
    <m/>
    <m/>
    <m/>
    <m/>
    <m/>
    <m/>
    <m/>
    <m/>
    <m/>
    <m/>
    <m/>
    <m/>
    <m/>
    <m/>
    <m/>
    <m/>
    <n v="2"/>
    <n v="2"/>
    <n v="1"/>
    <m/>
    <m/>
    <m/>
    <m/>
    <m/>
    <m/>
    <m/>
    <m/>
    <m/>
    <m/>
  </r>
  <r>
    <s v="Universidad Peruana Los AndesDoctorado en Ciencias de la Educación"/>
    <s v="260000037-137-"/>
    <n v="260000037"/>
    <s v="Universidad Peruana Los Andes"/>
    <s v="UPLA"/>
    <s v="Universidad"/>
    <s v="Privado"/>
    <s v="Asociativa- Sin fines de lucro"/>
    <s v="LICENCIADA"/>
    <s v="2020 - 2026"/>
    <n v="6"/>
    <s v="HUANCAYO"/>
    <s v=" HUANCAYO"/>
    <s v="JUNÍN"/>
    <s v="SIERRA"/>
    <x v="1"/>
    <s v="5. Ciencias Sociales"/>
    <s v="Doctorado en Ciencias de la Educación"/>
    <m/>
    <m/>
    <m/>
    <m/>
    <m/>
    <m/>
    <m/>
    <m/>
    <m/>
    <m/>
    <m/>
    <m/>
    <m/>
    <m/>
    <m/>
    <m/>
    <m/>
    <m/>
    <m/>
    <m/>
    <n v="35"/>
    <n v="34"/>
    <n v="0.97142857142857142"/>
    <m/>
    <m/>
    <m/>
    <m/>
    <m/>
    <m/>
    <m/>
    <m/>
    <m/>
    <m/>
  </r>
  <r>
    <s v="Universidad Nacional José Faustino Sánchez CarriónDoctorado en Derecho y Ciencias Políticas"/>
    <s v="160000028-90-4"/>
    <n v="160000028"/>
    <s v="Universidad Nacional José Faustino Sánchez Carrión"/>
    <s v="UNJFSC"/>
    <s v="Universidad"/>
    <s v="Público"/>
    <s v="Pública"/>
    <s v="LICENCIADA"/>
    <s v="2020 - 2026"/>
    <n v="6"/>
    <s v="HUACHO"/>
    <s v=" HUAURA"/>
    <s v="LIMA"/>
    <s v="LIMA"/>
    <x v="1"/>
    <s v="5. Ciencias Sociales"/>
    <s v="Doctorado en Derecho y Ciencias Políticas"/>
    <m/>
    <m/>
    <m/>
    <m/>
    <m/>
    <m/>
    <m/>
    <m/>
    <m/>
    <m/>
    <m/>
    <m/>
    <m/>
    <m/>
    <m/>
    <m/>
    <m/>
    <m/>
    <m/>
    <m/>
    <n v="21"/>
    <n v="21"/>
    <n v="1"/>
    <m/>
    <m/>
    <m/>
    <m/>
    <m/>
    <m/>
    <m/>
    <m/>
    <m/>
    <m/>
  </r>
  <r>
    <s v="Universidad Nacional del Centro del PerúDoctorado en Gobierno y Políticas Públicas"/>
    <s v="160000010-288-"/>
    <n v="160000010"/>
    <s v="Universidad Nacional del Centro del Perú"/>
    <s v="UNCP"/>
    <s v="Universidad"/>
    <s v="Público"/>
    <s v="Pública"/>
    <s v="LICENCIADA"/>
    <s v="2019 - 2025"/>
    <n v="6"/>
    <s v="EL TAMBO"/>
    <s v=" HUANCAYO"/>
    <s v="JUNÍN"/>
    <s v="SIERRA"/>
    <x v="1"/>
    <s v="5. Ciencias Sociales"/>
    <s v="Doctorado en Gobierno y Políticas Públicas"/>
    <m/>
    <m/>
    <m/>
    <m/>
    <m/>
    <m/>
    <m/>
    <m/>
    <m/>
    <m/>
    <m/>
    <m/>
    <m/>
    <m/>
    <m/>
    <m/>
    <m/>
    <m/>
    <m/>
    <m/>
    <n v="14"/>
    <n v="14"/>
    <n v="1"/>
    <m/>
    <m/>
    <m/>
    <m/>
    <m/>
    <m/>
    <m/>
    <m/>
    <m/>
    <m/>
  </r>
  <r>
    <s v="Universidad Nacional del SantaDoctorado en Ingeniería Agroindustrial con mención en Transformación Avanzada de Granos y Tubérculos Andinos"/>
    <s v="160000042-158-"/>
    <n v="160000042"/>
    <s v="Universidad Nacional del Santa"/>
    <s v="UNS"/>
    <s v="Universidad"/>
    <s v="Público"/>
    <s v="Pública"/>
    <s v="LICENCIADA"/>
    <s v="2019 - 2025"/>
    <n v="6"/>
    <s v="NUEVO CHIMBOTE"/>
    <s v=" SANTA"/>
    <s v="ÁNCASH"/>
    <s v="COSTA"/>
    <x v="1"/>
    <s v="2. Ingeniería y Tecnología"/>
    <s v="Doctorado en Ingeniería Agroindustrial con mención en Transformación Avanzada de Granos y Tubérculos Andinos"/>
    <m/>
    <m/>
    <m/>
    <m/>
    <m/>
    <m/>
    <m/>
    <m/>
    <m/>
    <m/>
    <m/>
    <m/>
    <m/>
    <m/>
    <m/>
    <m/>
    <m/>
    <m/>
    <m/>
    <m/>
    <n v="15"/>
    <n v="15"/>
    <n v="1"/>
    <m/>
    <m/>
    <m/>
    <m/>
    <m/>
    <m/>
    <m/>
    <m/>
    <m/>
    <m/>
  </r>
  <r>
    <s v="Universidad San PedroDoctorado en Derecho"/>
    <s v="26000045A-78-4"/>
    <s v="26000045A"/>
    <s v="Universidad San Pedro"/>
    <s v="USP"/>
    <s v="Universidad"/>
    <s v="Privado"/>
    <s v="Asociativa- Sin fines de lucro"/>
    <s v="LICENCIA DENEGADA"/>
    <m/>
    <n v="0"/>
    <s v="NUEVO CHIMBOTE"/>
    <s v=" SANTA"/>
    <s v="ÁNCASH"/>
    <s v="COSTA"/>
    <x v="2"/>
    <s v="5. Ciencias Sociales"/>
    <s v="Doctorado en Derecho"/>
    <m/>
    <n v="1"/>
    <m/>
    <m/>
    <m/>
    <m/>
    <m/>
    <m/>
    <m/>
    <m/>
    <m/>
    <m/>
    <s v="2020-1"/>
    <n v="2"/>
    <n v="0"/>
    <n v="2"/>
    <n v="33"/>
    <n v="33"/>
    <n v="33"/>
    <n v="0"/>
    <m/>
    <m/>
    <m/>
    <n v="0"/>
    <n v="2"/>
    <n v="0"/>
    <n v="0"/>
    <n v="5"/>
    <n v="1"/>
    <n v="0"/>
    <n v="0"/>
    <n v="0"/>
    <n v="0"/>
  </r>
  <r>
    <s v="Universidad Andina Néstor Cáceres VelásquezDoctorado en Ciencias e Ingeniería Civil Ambiental"/>
    <s v="260000036-70-7"/>
    <n v="260000036"/>
    <s v="Universidad Andina Néstor Cáceres Velásquez"/>
    <s v="UANCV"/>
    <s v="Universidad"/>
    <s v="Privado"/>
    <s v="Asociativa- Sin fines de lucro"/>
    <s v="LICENCIA DENEGADA"/>
    <m/>
    <n v="0"/>
    <s v="JULIACA"/>
    <s v="SAN ROMÁN"/>
    <s v="PUNO"/>
    <s v="SIERRA"/>
    <x v="2"/>
    <s v="2. Ingeniería y Tecnología"/>
    <s v="Doctorado en Ciencias e Ingeniería Civil Ambiental"/>
    <m/>
    <n v="25"/>
    <n v="25"/>
    <m/>
    <m/>
    <m/>
    <m/>
    <m/>
    <m/>
    <m/>
    <m/>
    <m/>
    <s v="2020-1"/>
    <n v="50"/>
    <n v="12"/>
    <n v="38"/>
    <n v="37.72"/>
    <n v="60"/>
    <n v="26"/>
    <n v="9.0599815290166283"/>
    <m/>
    <m/>
    <m/>
    <n v="0"/>
    <n v="50"/>
    <n v="0"/>
    <n v="0"/>
    <n v="0"/>
    <n v="1"/>
    <n v="0"/>
    <n v="0"/>
    <n v="0"/>
    <n v="1"/>
  </r>
  <r>
    <s v="Universidad Inca Garcilaso de la Vega Asociación CivilDerecho"/>
    <s v="260000024-102-4"/>
    <n v="260000024"/>
    <s v="Universidad Inca Garcilaso de la Vega Asociación Civil"/>
    <s v="UIGV"/>
    <s v="Universidad"/>
    <s v="Privado"/>
    <s v="Asociativa- Sin fines de lucro"/>
    <s v="LICENCIA DENEGADA"/>
    <m/>
    <n v="0"/>
    <s v="LIMA"/>
    <s v="LIMA"/>
    <s v="LIMA"/>
    <s v="LIMA"/>
    <x v="2"/>
    <s v="5. Ciencias Sociales"/>
    <s v="Derecho"/>
    <m/>
    <n v="44"/>
    <n v="35"/>
    <n v="14"/>
    <m/>
    <n v="2"/>
    <n v="2"/>
    <m/>
    <m/>
    <n v="1"/>
    <n v="1"/>
    <m/>
    <s v="2024-1"/>
    <n v="1"/>
    <n v="0"/>
    <n v="1"/>
    <n v="38"/>
    <n v="38"/>
    <n v="38"/>
    <n v="0"/>
    <m/>
    <m/>
    <m/>
    <n v="0"/>
    <n v="1"/>
    <n v="0"/>
    <m/>
    <m/>
    <m/>
    <m/>
    <m/>
    <m/>
    <m/>
  </r>
  <r>
    <s v="Universidad Andina Néstor Cáceres VelásquezDoctorado en Derecho"/>
    <s v="260000036-72-4"/>
    <n v="260000036"/>
    <s v="Universidad Andina Néstor Cáceres Velásquez"/>
    <s v="UANCV"/>
    <s v="Universidad"/>
    <s v="Privado"/>
    <s v="Asociativa- Sin fines de lucro"/>
    <s v="LICENCIA DENEGADA"/>
    <m/>
    <n v="0"/>
    <s v="JULIACA"/>
    <s v="SAN ROMÁN"/>
    <s v="PUNO"/>
    <s v="SIERRA"/>
    <x v="2"/>
    <s v="5. Ciencias Sociales"/>
    <s v="Doctorado en Derecho"/>
    <m/>
    <n v="90"/>
    <n v="50"/>
    <m/>
    <m/>
    <m/>
    <m/>
    <m/>
    <m/>
    <m/>
    <m/>
    <m/>
    <s v="2020-1"/>
    <n v="180"/>
    <n v="74"/>
    <n v="106"/>
    <n v="40.159090909090907"/>
    <n v="64"/>
    <n v="25"/>
    <n v="10.487419798309501"/>
    <m/>
    <m/>
    <m/>
    <n v="0"/>
    <n v="180"/>
    <n v="0"/>
    <n v="6"/>
    <n v="0"/>
    <n v="2"/>
    <n v="2"/>
    <n v="0"/>
    <n v="2"/>
    <n v="2"/>
  </r>
  <r>
    <s v="Universidad Andina Néstor Cáceres VelásquezDoctorado en Contabilidad y Finanzas"/>
    <s v="260000036-71-4"/>
    <n v="260000036"/>
    <s v="Universidad Andina Néstor Cáceres Velásquez"/>
    <s v="UANCV"/>
    <s v="Universidad"/>
    <s v="Privado"/>
    <s v="Asociativa- Sin fines de lucro"/>
    <s v="LICENCIA DENEGADA"/>
    <m/>
    <n v="0"/>
    <s v="JULIACA"/>
    <s v="SAN ROMÁN"/>
    <s v="PUNO"/>
    <s v="SIERRA"/>
    <x v="2"/>
    <s v="5. Ciencias Sociales"/>
    <s v="Doctorado en Contabilidad y Finanzas"/>
    <m/>
    <n v="15"/>
    <n v="12"/>
    <m/>
    <m/>
    <m/>
    <m/>
    <m/>
    <m/>
    <m/>
    <m/>
    <m/>
    <s v="2020-1"/>
    <n v="30"/>
    <n v="12"/>
    <n v="18"/>
    <n v="41.466666666666669"/>
    <n v="63"/>
    <n v="28"/>
    <n v="8.9586534291916795"/>
    <m/>
    <m/>
    <m/>
    <n v="0"/>
    <n v="30"/>
    <n v="0"/>
    <m/>
    <m/>
    <m/>
    <m/>
    <m/>
    <m/>
    <m/>
  </r>
  <r>
    <s v="Universidad Andina Néstor Cáceres VelásquezDoctorado en Salud Pública"/>
    <s v="260000036-75-0"/>
    <n v="260000036"/>
    <s v="Universidad Andina Néstor Cáceres Velásquez"/>
    <s v="UANCV"/>
    <s v="Universidad"/>
    <s v="Privado"/>
    <s v="Asociativa- Sin fines de lucro"/>
    <s v="LICENCIA DENEGADA"/>
    <m/>
    <n v="0"/>
    <s v="JULIACA"/>
    <s v="SAN ROMÁN"/>
    <s v="PUNO"/>
    <s v="SIERRA"/>
    <x v="2"/>
    <s v="5. Ciencias Sociales"/>
    <s v="Doctorado en Salud Pública"/>
    <m/>
    <n v="34"/>
    <n v="32"/>
    <m/>
    <m/>
    <m/>
    <m/>
    <m/>
    <m/>
    <m/>
    <m/>
    <m/>
    <s v="2020-1"/>
    <n v="68"/>
    <n v="46"/>
    <n v="22"/>
    <n v="43.147058823529413"/>
    <n v="64"/>
    <n v="24"/>
    <n v="10.622792597224716"/>
    <m/>
    <m/>
    <m/>
    <n v="0"/>
    <n v="68"/>
    <n v="0"/>
    <n v="12"/>
    <n v="0"/>
    <n v="1"/>
    <n v="2"/>
    <n v="0"/>
    <n v="0"/>
    <n v="0"/>
  </r>
  <r>
    <s v="Universidad Andina Néstor Cáceres VelásquezDoctorado en Administración"/>
    <s v="260000036-68-4"/>
    <n v="260000036"/>
    <s v="Universidad Andina Néstor Cáceres Velásquez"/>
    <s v="UANCV"/>
    <s v="Universidad"/>
    <s v="Privado"/>
    <s v="Asociativa- Sin fines de lucro"/>
    <s v="LICENCIA DENEGADA"/>
    <m/>
    <n v="0"/>
    <s v="JULIACA"/>
    <s v="SAN RAMÓN"/>
    <s v="PUNO"/>
    <s v="SIERRA"/>
    <x v="2"/>
    <s v="5. Ciencias Sociales"/>
    <s v="Doctorado en Administración"/>
    <m/>
    <n v="11"/>
    <n v="11"/>
    <m/>
    <m/>
    <m/>
    <m/>
    <m/>
    <m/>
    <m/>
    <m/>
    <m/>
    <s v="2020-1"/>
    <n v="22"/>
    <n v="10"/>
    <n v="12"/>
    <n v="43.363636363636367"/>
    <n v="61"/>
    <n v="34"/>
    <n v="8.0388666255496943"/>
    <m/>
    <m/>
    <m/>
    <n v="0"/>
    <n v="22"/>
    <n v="0"/>
    <n v="0"/>
    <n v="0"/>
    <n v="0"/>
    <n v="1"/>
    <n v="0"/>
    <n v="1"/>
    <n v="0"/>
  </r>
  <r>
    <s v="Universidad Inca Garcilaso de la Vega Asociación CivilContabilidad"/>
    <s v="260000024-101-4"/>
    <n v="260000024"/>
    <s v="Universidad Inca Garcilaso de la Vega Asociación Civil"/>
    <s v="UIGV"/>
    <s v="Universidad"/>
    <s v="Privado"/>
    <s v="Asociativa- Sin fines de lucro"/>
    <s v="LICENCIA DENEGADA"/>
    <m/>
    <n v="0"/>
    <s v="LIMA"/>
    <s v="LIMA"/>
    <s v="LIMA"/>
    <s v="LIMA"/>
    <x v="2"/>
    <s v="5. Ciencias Sociales"/>
    <s v="Contabilidad"/>
    <m/>
    <m/>
    <n v="1"/>
    <n v="1"/>
    <m/>
    <m/>
    <m/>
    <m/>
    <m/>
    <m/>
    <m/>
    <m/>
    <s v="2020-2"/>
    <n v="2"/>
    <n v="0"/>
    <n v="2"/>
    <n v="44"/>
    <n v="44"/>
    <n v="44"/>
    <n v="0"/>
    <m/>
    <m/>
    <m/>
    <n v="0"/>
    <n v="2"/>
    <n v="0"/>
    <m/>
    <m/>
    <m/>
    <m/>
    <m/>
    <m/>
    <m/>
  </r>
  <r>
    <s v="Universidad Inca Garcilaso de la Vega Asociación CivilPsicología"/>
    <s v="260000024-108-3"/>
    <n v="260000024"/>
    <s v="Universidad Inca Garcilaso de la Vega Asociación Civil"/>
    <s v="UIGV"/>
    <s v="Universidad"/>
    <s v="Privado"/>
    <s v="Asociativa- Sin fines de lucro"/>
    <s v="LICENCIA DENEGADA"/>
    <m/>
    <n v="0"/>
    <s v="LIMA"/>
    <s v="LIMA"/>
    <s v="LIMA"/>
    <s v="LIMA"/>
    <x v="2"/>
    <s v="5. Ciencias Sociales"/>
    <s v="Psicología"/>
    <m/>
    <n v="3"/>
    <n v="3"/>
    <m/>
    <m/>
    <m/>
    <m/>
    <m/>
    <m/>
    <m/>
    <m/>
    <m/>
    <s v="2020-1"/>
    <n v="6"/>
    <n v="4"/>
    <n v="2"/>
    <n v="44.666666666666664"/>
    <n v="60"/>
    <n v="26"/>
    <n v="15.422926656982675"/>
    <m/>
    <m/>
    <m/>
    <n v="0"/>
    <n v="6"/>
    <n v="0"/>
    <m/>
    <m/>
    <m/>
    <m/>
    <m/>
    <m/>
    <m/>
  </r>
  <r>
    <s v="Universidad Privada Antonio Guillermo Urrelo S.A.C.Doctorado en Administración"/>
    <s v="260000070-24-4"/>
    <n v="260000070"/>
    <s v="Universidad Privada Antonio Guillermo Urrelo S.A.C."/>
    <s v="UPAGU"/>
    <s v="Universidad"/>
    <s v="Privado"/>
    <s v="Societaria- Con fines de lucro"/>
    <s v="LICENCIA DENEGADA"/>
    <m/>
    <n v="0"/>
    <s v="CAJAMARCA"/>
    <s v="CAJAMARCA"/>
    <s v="CAJAMARCA"/>
    <s v="SIERRA"/>
    <x v="2"/>
    <s v="5. Ciencias Sociales"/>
    <s v="Doctorado en Administración"/>
    <m/>
    <n v="10"/>
    <n v="10"/>
    <n v="9"/>
    <n v="10"/>
    <m/>
    <m/>
    <m/>
    <m/>
    <m/>
    <m/>
    <m/>
    <s v="2020-1"/>
    <n v="20"/>
    <n v="10"/>
    <n v="10"/>
    <n v="44.8"/>
    <n v="70"/>
    <n v="31"/>
    <n v="13.097207416287755"/>
    <m/>
    <m/>
    <m/>
    <n v="0"/>
    <n v="20"/>
    <n v="0"/>
    <m/>
    <m/>
    <m/>
    <m/>
    <m/>
    <m/>
    <m/>
  </r>
  <r>
    <s v="Universidad Inca Garcilaso de la Vega Asociación CivilSalud Pública"/>
    <s v="260000024-109-0"/>
    <n v="260000024"/>
    <s v="Universidad Inca Garcilaso de la Vega Asociación Civil"/>
    <s v="UIGV"/>
    <s v="Universidad"/>
    <s v="Privado"/>
    <s v="Asociativa- Sin fines de lucro"/>
    <s v="LICENCIA DENEGADA"/>
    <m/>
    <n v="0"/>
    <s v="LIMA"/>
    <s v="LIMA"/>
    <s v="LIMA"/>
    <s v="LIMA"/>
    <x v="2"/>
    <s v="5. Ciencias Sociales"/>
    <s v="Salud Pública"/>
    <m/>
    <n v="9"/>
    <n v="4"/>
    <n v="5"/>
    <m/>
    <m/>
    <m/>
    <m/>
    <m/>
    <m/>
    <m/>
    <m/>
    <s v="2020-1"/>
    <n v="18"/>
    <n v="8"/>
    <n v="10"/>
    <n v="45.222222222222221"/>
    <n v="59"/>
    <n v="33"/>
    <n v="9.2517442270001169"/>
    <m/>
    <m/>
    <m/>
    <n v="2"/>
    <n v="16"/>
    <n v="0.125"/>
    <m/>
    <m/>
    <m/>
    <m/>
    <m/>
    <m/>
    <m/>
  </r>
  <r>
    <s v="Universidad Andina Néstor Cáceres VelásquezDoctorado en Educación"/>
    <s v="260000036-73-1"/>
    <n v="260000036"/>
    <s v="Universidad Andina Néstor Cáceres Velásquez"/>
    <s v="UANCV"/>
    <s v="Universidad"/>
    <s v="Privado"/>
    <s v="Asociativa- Sin fines de lucro"/>
    <s v="LICENCIA DENEGADA"/>
    <m/>
    <n v="0"/>
    <s v="JULIACA"/>
    <s v="SAN ROMÁN"/>
    <s v="PUNO"/>
    <s v="SIERRA"/>
    <x v="2"/>
    <s v="5. Ciencias Sociales"/>
    <s v="Doctorado en Educación"/>
    <m/>
    <n v="42"/>
    <n v="41"/>
    <m/>
    <m/>
    <m/>
    <m/>
    <m/>
    <m/>
    <m/>
    <m/>
    <m/>
    <s v="2020-1"/>
    <n v="84"/>
    <n v="50"/>
    <n v="34"/>
    <n v="46.214285714285715"/>
    <n v="69"/>
    <n v="26"/>
    <n v="9.1744425372439498"/>
    <m/>
    <m/>
    <m/>
    <n v="0"/>
    <n v="84"/>
    <n v="0"/>
    <n v="0"/>
    <n v="0"/>
    <n v="1"/>
    <n v="1"/>
    <n v="0"/>
    <n v="0"/>
    <n v="0"/>
  </r>
  <r>
    <s v="Instituto Científico y Tecnológico del EjércitoGestión y Desarrollo"/>
    <s v="160000813-5-0"/>
    <n v="160000813"/>
    <s v="Instituto Científico y Tecnológico del Ejército"/>
    <s v="CAEN"/>
    <s v="Instituto"/>
    <s v="Público"/>
    <s v="Pública"/>
    <s v="LICENCIA DENEGADA"/>
    <m/>
    <n v="0"/>
    <s v="SANTIAGO DE SURCO"/>
    <s v="LIMA"/>
    <s v="LIMA"/>
    <s v="LIMA"/>
    <x v="2"/>
    <s v="5. Ciencias Sociales"/>
    <s v="Gestión y Desarrollo"/>
    <m/>
    <m/>
    <m/>
    <n v="69"/>
    <m/>
    <n v="63"/>
    <n v="104"/>
    <n v="147"/>
    <n v="114"/>
    <n v="147"/>
    <n v="93"/>
    <n v="69"/>
    <s v="2024-1"/>
    <n v="147"/>
    <n v="14"/>
    <n v="133"/>
    <n v="46.598639455782312"/>
    <n v="63"/>
    <n v="32"/>
    <n v="5.0486128081806703"/>
    <n v="35"/>
    <n v="35"/>
    <n v="1"/>
    <n v="0"/>
    <n v="147"/>
    <n v="0"/>
    <n v="0"/>
    <n v="0"/>
    <n v="0"/>
    <n v="0"/>
    <n v="0"/>
    <n v="43"/>
    <n v="0"/>
  </r>
  <r>
    <s v="Centro de Altos Estudios Nacionales - CAENDoctorado en Políticas Públicas y Gestión del Estado"/>
    <s v="160000801-12-"/>
    <n v="160000801"/>
    <s v="Centro de Altos Estudios Nacionales - CAEN"/>
    <s v="CAEN"/>
    <s v="Escuela Superior"/>
    <s v="Público"/>
    <s v="Pública"/>
    <s v="LICENCIA DENEGADA"/>
    <m/>
    <n v="0"/>
    <s v="CHORRILLOS"/>
    <s v="LIMA"/>
    <s v="LIMA"/>
    <s v="LIMA"/>
    <x v="2"/>
    <s v="5. Ciencias Sociales"/>
    <s v="Doctorado en Políticas Públicas y Gestión del Estado"/>
    <m/>
    <m/>
    <n v="51"/>
    <m/>
    <n v="35"/>
    <n v="88"/>
    <n v="18"/>
    <n v="15"/>
    <n v="23"/>
    <n v="71"/>
    <n v="71"/>
    <n v="56"/>
    <s v="2024-1"/>
    <n v="71"/>
    <n v="16"/>
    <n v="55"/>
    <n v="47.842857142857142"/>
    <n v="70"/>
    <n v="33"/>
    <n v="8.4212218368638716"/>
    <n v="88"/>
    <n v="88"/>
    <n v="1"/>
    <n v="0"/>
    <n v="71"/>
    <n v="0"/>
    <n v="0"/>
    <n v="0"/>
    <n v="35"/>
    <n v="31"/>
    <n v="0"/>
    <n v="0"/>
    <n v="0"/>
  </r>
  <r>
    <s v="Universidad José Carlos MariáteguiDoctorado en Educación"/>
    <s v="26000048A-99-1"/>
    <s v="26000048A"/>
    <s v="Universidad José Carlos Mariátegui"/>
    <s v="UJCM"/>
    <s v="Universidad"/>
    <s v="Privado"/>
    <s v="Asociativa- Sin fines de lucro"/>
    <s v="LICENCIA DENEGADA"/>
    <m/>
    <n v="0"/>
    <s v="MOQUEGUA"/>
    <s v="MARISCAL NIETO"/>
    <s v="MOQUEGUA"/>
    <s v="COSTA"/>
    <x v="2"/>
    <s v="5. Ciencias Sociales"/>
    <s v="Doctorado en Educación"/>
    <m/>
    <n v="19"/>
    <n v="18"/>
    <n v="13"/>
    <n v="10"/>
    <m/>
    <m/>
    <m/>
    <m/>
    <m/>
    <m/>
    <m/>
    <s v="2020-1"/>
    <n v="38"/>
    <n v="18"/>
    <n v="20"/>
    <n v="48"/>
    <n v="62"/>
    <n v="36"/>
    <n v="8.3350875346649076"/>
    <m/>
    <m/>
    <m/>
    <n v="0"/>
    <n v="38"/>
    <n v="0"/>
    <n v="0"/>
    <n v="0"/>
    <n v="0"/>
    <n v="1"/>
    <n v="0"/>
    <n v="0"/>
    <n v="0"/>
  </r>
  <r>
    <s v="Universidad Alas Peruanas S.A.Doctorado en Salud Pública"/>
    <s v="260000059-83-0"/>
    <n v="260000059"/>
    <s v="Universidad Alas Peruanas S.A."/>
    <s v="UAP"/>
    <s v="Universidad"/>
    <s v="Privado"/>
    <s v="Societaria- Con fines de lucro"/>
    <s v="LICENCIA DENEGADA"/>
    <m/>
    <n v="0"/>
    <s v="SANTIAGO DE SURCO"/>
    <s v="LIMA"/>
    <s v="LIMA"/>
    <s v="LIMA"/>
    <x v="2"/>
    <s v="5. Ciencias Sociales"/>
    <s v="Doctorado en Salud Pública"/>
    <m/>
    <m/>
    <n v="8"/>
    <n v="15"/>
    <n v="15"/>
    <n v="1"/>
    <n v="1"/>
    <m/>
    <m/>
    <m/>
    <m/>
    <m/>
    <s v="2022-1"/>
    <n v="2"/>
    <n v="0"/>
    <n v="2"/>
    <n v="48"/>
    <n v="48"/>
    <n v="48"/>
    <n v="0"/>
    <m/>
    <m/>
    <m/>
    <n v="0"/>
    <n v="2"/>
    <n v="0"/>
    <m/>
    <m/>
    <m/>
    <m/>
    <m/>
    <m/>
    <m/>
  </r>
  <r>
    <s v="Universidad Privada Antonio Guillermo Urrelo S.A.C.Doctorado en Psicología"/>
    <s v="260000070-25-3"/>
    <n v="260000070"/>
    <s v="Universidad Privada Antonio Guillermo Urrelo S.A.C."/>
    <s v="UPAGU"/>
    <s v="Universidad"/>
    <s v="Privado"/>
    <s v="Societaria- Con fines de lucro"/>
    <s v="LICENCIA DENEGADA"/>
    <m/>
    <n v="0"/>
    <s v="CAJAMARCA"/>
    <s v="CAJAMARCA"/>
    <s v="CAJAMARCA"/>
    <s v="SIERRA"/>
    <x v="2"/>
    <s v="5. Ciencias Sociales"/>
    <s v="Doctorado en Psicología"/>
    <m/>
    <n v="3"/>
    <n v="3"/>
    <n v="3"/>
    <n v="3"/>
    <m/>
    <m/>
    <m/>
    <m/>
    <m/>
    <m/>
    <m/>
    <s v="2020-1"/>
    <n v="6"/>
    <n v="4"/>
    <n v="2"/>
    <n v="49"/>
    <n v="62"/>
    <n v="40"/>
    <n v="10.315037566582102"/>
    <m/>
    <m/>
    <m/>
    <n v="0"/>
    <n v="6"/>
    <n v="0"/>
    <m/>
    <m/>
    <m/>
    <m/>
    <m/>
    <m/>
    <m/>
  </r>
  <r>
    <s v="Universidad Alas Peruanas S.A.Doctorado en Ingeniería de Sistemas"/>
    <s v="260000059-79-6"/>
    <n v="260000059"/>
    <s v="Universidad Alas Peruanas S.A."/>
    <s v="UAP"/>
    <s v="Universidad"/>
    <s v="Privado"/>
    <s v="Societaria- Con fines de lucro"/>
    <s v="LICENCIA DENEGADA"/>
    <m/>
    <n v="0"/>
    <s v="SANTIAGO DE SURCO"/>
    <s v="LIMA"/>
    <s v="LIMA"/>
    <s v="LIMA"/>
    <x v="2"/>
    <s v="1. Ciencias Naturales"/>
    <s v="Doctorado en Ingeniería de Sistemas"/>
    <m/>
    <m/>
    <n v="5"/>
    <n v="13"/>
    <n v="12"/>
    <n v="12"/>
    <n v="2"/>
    <m/>
    <m/>
    <m/>
    <m/>
    <m/>
    <s v="2022-1"/>
    <n v="24"/>
    <n v="4"/>
    <n v="20"/>
    <n v="49.166666666666664"/>
    <n v="59"/>
    <n v="38"/>
    <n v="5.4666313183728237"/>
    <m/>
    <m/>
    <m/>
    <n v="0"/>
    <n v="24"/>
    <n v="0"/>
    <n v="9"/>
    <n v="0"/>
    <n v="0"/>
    <n v="0"/>
    <n v="0"/>
    <n v="0"/>
    <n v="0"/>
  </r>
  <r>
    <s v="Centro de Altos Estudios Nacionales - CAENDoctorado en Desarrollo y Seguridad Estratégica"/>
    <s v="160000801-7-0"/>
    <n v="160000801"/>
    <s v="Centro de Altos Estudios Nacionales - CAEN"/>
    <s v="CAEN"/>
    <s v="Escuela Superior"/>
    <s v="Público"/>
    <s v="Pública"/>
    <s v="LICENCIA DENEGADA"/>
    <m/>
    <n v="0"/>
    <s v="CHORRILLOS"/>
    <s v="LIMA"/>
    <s v="LIMA"/>
    <s v="LIMA"/>
    <x v="2"/>
    <s v="5. Ciencias Sociales"/>
    <s v="Doctorado en Desarrollo y Seguridad Estratégica"/>
    <m/>
    <n v="34"/>
    <n v="35"/>
    <m/>
    <n v="38"/>
    <n v="34"/>
    <n v="30"/>
    <n v="16"/>
    <n v="6"/>
    <n v="56"/>
    <n v="1"/>
    <n v="36"/>
    <s v="2024-1"/>
    <n v="56"/>
    <n v="8"/>
    <n v="48"/>
    <n v="49.410714285714285"/>
    <n v="66"/>
    <n v="33"/>
    <n v="7.538451217143141"/>
    <m/>
    <m/>
    <m/>
    <n v="1"/>
    <n v="53"/>
    <n v="1.8867924528301886E-2"/>
    <n v="0"/>
    <n v="20"/>
    <n v="0"/>
    <n v="0"/>
    <n v="0"/>
    <n v="19"/>
    <n v="0"/>
  </r>
  <r>
    <s v="Universidad Alas Peruanas S.A.Doctorado en Derecho"/>
    <s v="260000059-76-4"/>
    <n v="260000059"/>
    <s v="Universidad Alas Peruanas S.A."/>
    <s v="UAP"/>
    <s v="Universidad"/>
    <s v="Privado"/>
    <s v="Societaria- Con fines de lucro"/>
    <s v="LICENCIA DENEGADA"/>
    <m/>
    <n v="0"/>
    <s v="SANTIAGO DE SURCO"/>
    <s v="LIMA"/>
    <s v="LIMA"/>
    <s v="LIMA"/>
    <x v="2"/>
    <s v="5. Ciencias Sociales"/>
    <s v="Doctorado en Derecho"/>
    <m/>
    <m/>
    <n v="10"/>
    <n v="20"/>
    <n v="19"/>
    <n v="2"/>
    <n v="2"/>
    <m/>
    <m/>
    <m/>
    <m/>
    <m/>
    <s v="2022-1"/>
    <n v="4"/>
    <n v="0"/>
    <n v="4"/>
    <n v="49.5"/>
    <n v="52"/>
    <n v="47"/>
    <n v="2.8867513459481291"/>
    <m/>
    <m/>
    <m/>
    <n v="0"/>
    <n v="4"/>
    <n v="0"/>
    <m/>
    <m/>
    <m/>
    <m/>
    <m/>
    <m/>
    <m/>
  </r>
  <r>
    <s v="Universidad San PedroDoctorado en Educación con mención en Gestión y Ciencias de la Educación"/>
    <s v="26000045A-204-1"/>
    <s v="26000045A"/>
    <s v="Universidad San Pedro"/>
    <s v="USP"/>
    <s v="Universidad"/>
    <s v="Privado"/>
    <s v="Asociativa- Sin fines de lucro"/>
    <s v="LICENCIA DENEGADA"/>
    <m/>
    <n v="0"/>
    <s v="NUEVO CHIMBOTE"/>
    <s v=" SANTA"/>
    <s v="ÁNCASH"/>
    <s v="COSTA"/>
    <x v="2"/>
    <s v="5. Ciencias Sociales"/>
    <s v="Doctorado en Educación con mención en Gestión y Ciencias de la Educación"/>
    <m/>
    <n v="29"/>
    <n v="18"/>
    <n v="17"/>
    <m/>
    <m/>
    <m/>
    <m/>
    <m/>
    <m/>
    <m/>
    <m/>
    <s v="2020-1"/>
    <n v="58"/>
    <n v="28"/>
    <n v="30"/>
    <n v="50.241379310344826"/>
    <n v="64"/>
    <n v="31"/>
    <n v="8.5825411213237608"/>
    <m/>
    <m/>
    <m/>
    <n v="2"/>
    <n v="56"/>
    <n v="3.5714285714285712E-2"/>
    <m/>
    <m/>
    <m/>
    <m/>
    <m/>
    <m/>
    <m/>
  </r>
  <r>
    <s v="Universidad Inca Garcilaso de la Vega Asociación CivilMedio Ambiente y Desarrollo Sostenible"/>
    <s v="260000024-107-5"/>
    <n v="260000024"/>
    <s v="Universidad Inca Garcilaso de la Vega Asociación Civil"/>
    <s v="UIGV"/>
    <s v="Universidad"/>
    <s v="Privado"/>
    <s v="Asociativa- Sin fines de lucro"/>
    <s v="LICENCIA DENEGADA"/>
    <m/>
    <n v="0"/>
    <s v="LIMA"/>
    <s v="LIMA"/>
    <s v="LIMA"/>
    <s v="LIMA"/>
    <x v="2"/>
    <s v="1. Ciencias Naturales"/>
    <s v="Medio Ambiente y Desarrollo Sostenible"/>
    <m/>
    <n v="10"/>
    <n v="9"/>
    <n v="4"/>
    <m/>
    <n v="1"/>
    <m/>
    <m/>
    <m/>
    <m/>
    <m/>
    <m/>
    <s v="2022-1"/>
    <n v="2"/>
    <n v="0"/>
    <n v="2"/>
    <n v="51"/>
    <n v="51"/>
    <n v="51"/>
    <n v="0"/>
    <m/>
    <m/>
    <m/>
    <n v="0"/>
    <n v="2"/>
    <n v="0"/>
    <m/>
    <m/>
    <m/>
    <m/>
    <m/>
    <m/>
    <m/>
  </r>
  <r>
    <s v="Universidad Inca Garcilaso de la Vega Asociación CivilEducación"/>
    <s v="260000024-104-1"/>
    <n v="260000024"/>
    <s v="Universidad Inca Garcilaso de la Vega Asociación Civil"/>
    <s v="UIGV"/>
    <s v="Universidad"/>
    <s v="Privado"/>
    <s v="Asociativa- Sin fines de lucro"/>
    <s v="LICENCIA DENEGADA"/>
    <m/>
    <n v="0"/>
    <s v="LIMA"/>
    <s v="LIMA"/>
    <s v="LIMA"/>
    <s v="LIMA"/>
    <x v="2"/>
    <s v="5. Ciencias Sociales"/>
    <s v="Educación"/>
    <m/>
    <n v="8"/>
    <n v="8"/>
    <n v="4"/>
    <m/>
    <m/>
    <m/>
    <m/>
    <m/>
    <m/>
    <m/>
    <m/>
    <s v="2020-1"/>
    <n v="16"/>
    <n v="10"/>
    <n v="6"/>
    <n v="53.625"/>
    <n v="65"/>
    <n v="45"/>
    <n v="6.6118580343702682"/>
    <m/>
    <m/>
    <m/>
    <n v="0"/>
    <n v="16"/>
    <n v="0"/>
    <m/>
    <m/>
    <m/>
    <m/>
    <m/>
    <m/>
    <m/>
  </r>
  <r>
    <s v="Universidad José Carlos MariáteguiDoctorado en Derecho"/>
    <s v="26000048A-98-4"/>
    <s v="26000048A"/>
    <s v="Universidad José Carlos Mariátegui"/>
    <s v="UJCM"/>
    <s v="Universidad"/>
    <s v="Privado"/>
    <s v="Asociativa- Sin fines de lucro"/>
    <s v="LICENCIA DENEGADA"/>
    <m/>
    <n v="0"/>
    <s v="MOQUEGUA"/>
    <s v="MARISCAL NIETO"/>
    <s v="MOQUEGUA"/>
    <s v="COSTA"/>
    <x v="2"/>
    <s v="5. Ciencias Sociales"/>
    <s v="Doctorado en Derecho"/>
    <m/>
    <n v="9"/>
    <n v="9"/>
    <n v="9"/>
    <n v="9"/>
    <m/>
    <n v="1"/>
    <m/>
    <m/>
    <m/>
    <m/>
    <m/>
    <s v="2022-2"/>
    <n v="2"/>
    <m/>
    <n v="2"/>
    <n v="54"/>
    <n v="54"/>
    <n v="54"/>
    <n v="0"/>
    <m/>
    <m/>
    <m/>
    <n v="0"/>
    <n v="2"/>
    <n v="0"/>
    <n v="0"/>
    <n v="1"/>
    <n v="0"/>
    <n v="1"/>
    <n v="0"/>
    <n v="0"/>
    <n v="0"/>
  </r>
  <r>
    <s v="Universidad Alas Peruanas S.A.Doctorado en Administración"/>
    <s v="260000059-73-4"/>
    <n v="260000059"/>
    <s v="Universidad Alas Peruanas S.A."/>
    <s v="UAP"/>
    <s v="Universidad"/>
    <s v="Privado"/>
    <s v="Societaria- Con fines de lucro"/>
    <s v="LICENCIA DENEGADA"/>
    <m/>
    <n v="0"/>
    <s v="SANTIAGO DE SURCO"/>
    <s v="LIMA"/>
    <s v="LIMA"/>
    <s v="LIMA"/>
    <x v="2"/>
    <s v="5. Ciencias Sociales"/>
    <s v="Doctorado en Administración"/>
    <m/>
    <m/>
    <n v="7"/>
    <n v="20"/>
    <n v="1"/>
    <m/>
    <m/>
    <m/>
    <m/>
    <m/>
    <m/>
    <m/>
    <s v="2021-2"/>
    <n v="2"/>
    <n v="0"/>
    <n v="2"/>
    <n v="55"/>
    <n v="55"/>
    <n v="55"/>
    <n v="0"/>
    <m/>
    <m/>
    <m/>
    <n v="0"/>
    <n v="2"/>
    <n v="0"/>
    <m/>
    <m/>
    <m/>
    <m/>
    <m/>
    <m/>
    <m/>
  </r>
  <r>
    <s v="Universidad Peruana de las Américas S.A.C.Doctorado en Administración"/>
    <s v="260000078-16-4"/>
    <n v="260000078"/>
    <s v="Universidad Peruana de las Américas S.A.C."/>
    <s v="ULASAMERICAS"/>
    <s v="Universidad"/>
    <s v="Privado"/>
    <s v="Societaria- Con fines de lucro"/>
    <s v="LICENCIA DENEGADA"/>
    <m/>
    <n v="0"/>
    <s v="LIMA"/>
    <s v="LIMA"/>
    <s v="LIMA"/>
    <s v="LIMA"/>
    <x v="2"/>
    <s v="5. Ciencias Sociales"/>
    <s v="Doctorado en Administración"/>
    <m/>
    <n v="18"/>
    <n v="18"/>
    <n v="16"/>
    <n v="15"/>
    <m/>
    <m/>
    <m/>
    <m/>
    <m/>
    <m/>
    <m/>
    <s v="2020-1"/>
    <n v="36"/>
    <n v="12"/>
    <n v="24"/>
    <n v="55.2"/>
    <n v="67"/>
    <n v="41"/>
    <n v="7.3174331282360896"/>
    <m/>
    <m/>
    <m/>
    <n v="0"/>
    <n v="36"/>
    <n v="0"/>
    <m/>
    <m/>
    <m/>
    <m/>
    <m/>
    <m/>
    <m/>
  </r>
  <r>
    <s v="Universidad Inca Garcilaso de la Vega Asociación CivilAdministración"/>
    <s v="260000024-98-4"/>
    <n v="260000024"/>
    <s v="Universidad Inca Garcilaso de la Vega Asociación Civil"/>
    <s v="UIGV"/>
    <s v="Universidad"/>
    <s v="Privado"/>
    <s v="Asociativa- Sin fines de lucro"/>
    <s v="LICENCIA DENEGADA"/>
    <m/>
    <n v="0"/>
    <s v="LIMA"/>
    <s v="LIMA"/>
    <s v="LIMA"/>
    <s v="LIMA"/>
    <x v="2"/>
    <s v="5. Ciencias Sociales"/>
    <s v="Administración"/>
    <m/>
    <n v="13"/>
    <n v="11"/>
    <n v="10"/>
    <m/>
    <m/>
    <m/>
    <m/>
    <m/>
    <n v="1"/>
    <n v="2"/>
    <m/>
    <s v="2024-1"/>
    <n v="1"/>
    <n v="0"/>
    <n v="1"/>
    <n v="69"/>
    <n v="69"/>
    <n v="69"/>
    <n v="0"/>
    <m/>
    <m/>
    <m/>
    <n v="0"/>
    <n v="1"/>
    <n v="0"/>
    <m/>
    <m/>
    <m/>
    <m/>
    <m/>
    <m/>
    <m/>
  </r>
  <r>
    <s v="Universidad Nacional del AltiplanoDoctorado en Administración"/>
    <s v="160000012-16-4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5. Ciencias Sociales"/>
    <s v="Doctorado en Administración"/>
    <m/>
    <m/>
    <n v="39"/>
    <n v="53"/>
    <m/>
    <m/>
    <m/>
    <m/>
    <m/>
    <m/>
    <n v="22"/>
    <m/>
    <s v="2024-2"/>
    <n v="44"/>
    <n v="18"/>
    <n v="26"/>
    <n v="32.68181818181818"/>
    <n v="47"/>
    <n v="47"/>
    <n v="25"/>
    <n v="24"/>
    <n v="23"/>
    <n v="0.95833333333333337"/>
    <n v="0"/>
    <n v="44"/>
    <n v="0"/>
    <m/>
    <m/>
    <m/>
    <m/>
    <m/>
    <m/>
    <m/>
  </r>
  <r>
    <s v="Universidad Nacional Toribio Rodríguez de Mendoza de AmazonasGenética y Mejoramiento Genético de Plantas"/>
    <s v="160000076-59-9"/>
    <n v="160000076"/>
    <s v="Universidad Nacional Toribio Rodríguez de Mendoza de Amazonas"/>
    <s v="UNTRMA"/>
    <s v="Universidad"/>
    <s v="Público"/>
    <s v="Pública"/>
    <s v="LICENCIADA"/>
    <s v="2017 - 2023"/>
    <n v="6"/>
    <s v="CHACHAPOYAS"/>
    <s v=" CHACHAPOYAS"/>
    <s v="AMAZONAS"/>
    <s v="SELVA"/>
    <x v="3"/>
    <s v="3. Ciencias Médicas y de la Salud"/>
    <s v="Genética y Mejoramiento Genético de Plantas"/>
    <m/>
    <m/>
    <m/>
    <m/>
    <m/>
    <m/>
    <m/>
    <m/>
    <m/>
    <n v="4"/>
    <n v="3"/>
    <m/>
    <s v="2024-1"/>
    <n v="4"/>
    <n v="1"/>
    <n v="3"/>
    <n v="34.25"/>
    <n v="43"/>
    <n v="31"/>
    <n v="5.8523499553598128"/>
    <n v="1"/>
    <n v="1"/>
    <n v="1"/>
    <n v="0"/>
    <n v="4"/>
    <n v="0"/>
    <m/>
    <m/>
    <m/>
    <m/>
    <m/>
    <m/>
    <m/>
  </r>
  <r>
    <s v="Universidad Nacional del AltiplanoDoctorado en Derecho"/>
    <s v="160000012-27-4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5. Ciencias Sociales"/>
    <s v="Doctorado en Derecho"/>
    <m/>
    <m/>
    <n v="66"/>
    <n v="88"/>
    <m/>
    <m/>
    <m/>
    <m/>
    <m/>
    <m/>
    <n v="33"/>
    <m/>
    <s v="2024-2"/>
    <n v="66"/>
    <n v="20"/>
    <n v="46"/>
    <n v="36.151515151515149"/>
    <n v="58"/>
    <n v="58"/>
    <n v="26"/>
    <n v="46"/>
    <n v="41"/>
    <n v="0.89130434782608692"/>
    <n v="0"/>
    <n v="66"/>
    <n v="0"/>
    <m/>
    <m/>
    <m/>
    <m/>
    <m/>
    <m/>
    <m/>
  </r>
  <r>
    <s v="Universidad Nacional del AltiplanoDoctorado en Ciencias de la Salud"/>
    <s v="160000012-21-9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3. Ciencias Médicas y de la Salud"/>
    <s v="Doctorado en Ciencias de la Salud"/>
    <m/>
    <m/>
    <n v="57"/>
    <n v="70"/>
    <m/>
    <m/>
    <m/>
    <m/>
    <m/>
    <m/>
    <n v="33"/>
    <m/>
    <s v="2024-2"/>
    <n v="66"/>
    <n v="42"/>
    <n v="24"/>
    <n v="36.696969696969695"/>
    <n v="69"/>
    <n v="69"/>
    <n v="25"/>
    <n v="35"/>
    <n v="35"/>
    <n v="1"/>
    <n v="0"/>
    <n v="66"/>
    <n v="0"/>
    <m/>
    <m/>
    <m/>
    <m/>
    <m/>
    <m/>
    <m/>
  </r>
  <r>
    <s v="Universidad Nacional del AltiplanoDoctorado en Economía y Políticas Públicas"/>
    <s v="160000012-30-3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5. Ciencias Sociales"/>
    <s v="Doctorado en Economía y Políticas Públicas"/>
    <m/>
    <m/>
    <n v="51"/>
    <n v="54"/>
    <m/>
    <m/>
    <m/>
    <m/>
    <m/>
    <m/>
    <n v="23"/>
    <m/>
    <s v="2024-2"/>
    <n v="46"/>
    <n v="12"/>
    <n v="34"/>
    <n v="37.521739130434781"/>
    <n v="58"/>
    <n v="58"/>
    <n v="24"/>
    <n v="24"/>
    <n v="23"/>
    <n v="0.95833333333333337"/>
    <n v="0"/>
    <n v="46"/>
    <n v="0"/>
    <m/>
    <m/>
    <m/>
    <m/>
    <m/>
    <m/>
    <m/>
  </r>
  <r>
    <s v="Universidad Nacional del AltiplanoDoctorado en Contabilidad y Finanzas"/>
    <s v="160000012-26-4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5. Ciencias Sociales"/>
    <s v="Doctorado en Contabilidad y Finanzas"/>
    <m/>
    <m/>
    <n v="54"/>
    <n v="63"/>
    <m/>
    <m/>
    <m/>
    <m/>
    <m/>
    <m/>
    <n v="30"/>
    <m/>
    <s v="2024-2"/>
    <n v="60"/>
    <n v="28"/>
    <n v="32"/>
    <n v="37.758620689655174"/>
    <n v="57"/>
    <n v="57"/>
    <n v="29"/>
    <n v="33"/>
    <n v="33"/>
    <n v="1"/>
    <n v="0"/>
    <n v="60"/>
    <n v="0"/>
    <m/>
    <m/>
    <m/>
    <m/>
    <m/>
    <m/>
    <m/>
  </r>
  <r>
    <s v="Universidad Nacional del AltiplanoDoctorado en Ciencias de la Computación"/>
    <s v="160000012-19-6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1. Ciencias Naturales"/>
    <s v="Doctorado en Ciencias de la Computación"/>
    <m/>
    <m/>
    <n v="46"/>
    <n v="38"/>
    <m/>
    <m/>
    <m/>
    <m/>
    <m/>
    <m/>
    <n v="17"/>
    <m/>
    <s v="2024-2"/>
    <n v="34"/>
    <n v="12"/>
    <n v="22"/>
    <n v="37.764705882352942"/>
    <n v="51"/>
    <n v="51"/>
    <n v="26"/>
    <n v="19"/>
    <n v="19"/>
    <n v="1"/>
    <n v="0"/>
    <n v="34"/>
    <n v="0"/>
    <m/>
    <m/>
    <m/>
    <m/>
    <m/>
    <m/>
    <m/>
  </r>
  <r>
    <s v="Universidad Nacional del AltiplanoDoctorado en Ciencias Sociales, Gestión Pública y Desarrollo Territorial"/>
    <s v="160000012-24-3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5. Ciencias Sociales"/>
    <s v="Doctorado en Ciencias Sociales, Gestión Pública y Desarrollo Territorial"/>
    <m/>
    <m/>
    <n v="67"/>
    <n v="82"/>
    <m/>
    <m/>
    <m/>
    <m/>
    <m/>
    <m/>
    <n v="40"/>
    <m/>
    <s v="2024-2"/>
    <n v="80"/>
    <n v="42"/>
    <n v="38"/>
    <n v="38.512820512820511"/>
    <n v="60"/>
    <n v="60"/>
    <n v="26"/>
    <n v="47"/>
    <n v="47"/>
    <n v="1"/>
    <n v="0"/>
    <n v="78"/>
    <n v="0"/>
    <m/>
    <m/>
    <m/>
    <m/>
    <m/>
    <m/>
    <m/>
  </r>
  <r>
    <s v="Universidad Nacional Toribio Rodríguez de Mendoza de AmazonasCiencias para el Desarrollo Sustentable"/>
    <s v="160000076-8-8"/>
    <n v="160000076"/>
    <s v="Universidad Nacional Toribio Rodríguez de Mendoza de Amazonas"/>
    <s v="UNTRMA"/>
    <s v="Universidad"/>
    <s v="Público"/>
    <s v="Pública"/>
    <s v="LICENCIADA"/>
    <s v="2017 - 2023"/>
    <n v="6"/>
    <s v="CHACHAPOYAS"/>
    <s v=" CHACHAPOYAS"/>
    <s v="AMAZONAS"/>
    <s v="SELVA"/>
    <x v="3"/>
    <s v="4. Ciencias Agrícolas"/>
    <s v="Ciencias para el Desarrollo Sustentable"/>
    <s v="2018;2023"/>
    <n v="42"/>
    <n v="39"/>
    <n v="43"/>
    <m/>
    <m/>
    <m/>
    <m/>
    <n v="43"/>
    <n v="47"/>
    <n v="44"/>
    <m/>
    <s v="2024-1"/>
    <n v="47"/>
    <n v="20"/>
    <n v="27"/>
    <n v="38.936170212765958"/>
    <n v="68"/>
    <n v="27"/>
    <n v="10.048586868677317"/>
    <n v="118"/>
    <n v="43"/>
    <n v="0.36440677966101692"/>
    <n v="1"/>
    <n v="46"/>
    <n v="2.1739130434782608E-2"/>
    <n v="7"/>
    <n v="10"/>
    <n v="0"/>
    <n v="11"/>
    <n v="0"/>
    <n v="2"/>
    <n v="1"/>
  </r>
  <r>
    <s v="Universidad Nacional del AltiplanoDoctorado en Educación"/>
    <s v="160000012-31-1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5. Ciencias Sociales"/>
    <s v="Doctorado en Educación"/>
    <m/>
    <m/>
    <n v="140"/>
    <n v="191"/>
    <m/>
    <m/>
    <m/>
    <m/>
    <m/>
    <m/>
    <n v="73"/>
    <m/>
    <s v="2024-2"/>
    <n v="146"/>
    <n v="70"/>
    <n v="76"/>
    <n v="39.424657534246577"/>
    <n v="61"/>
    <n v="61"/>
    <n v="25"/>
    <n v="93"/>
    <n v="91"/>
    <n v="0.978494623655914"/>
    <n v="0"/>
    <n v="146"/>
    <n v="0"/>
    <m/>
    <m/>
    <m/>
    <m/>
    <m/>
    <m/>
    <m/>
  </r>
  <r>
    <s v="Universidad Nacional Federico VillarrealDoctorado en Ingeniería Civil"/>
    <s v="160000021-150-7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2. Ingeniería y Tecnología"/>
    <s v="Doctorado en Ingeniería Civil"/>
    <m/>
    <n v="33"/>
    <n v="74"/>
    <m/>
    <m/>
    <m/>
    <m/>
    <m/>
    <m/>
    <m/>
    <m/>
    <m/>
    <s v="2020-1"/>
    <n v="66"/>
    <n v="14"/>
    <n v="52"/>
    <n v="39.515151515151516"/>
    <n v="67"/>
    <n v="27"/>
    <n v="9.7163500969993457"/>
    <n v="37"/>
    <n v="38"/>
    <n v="1.027027027027027"/>
    <n v="0"/>
    <n v="66"/>
    <n v="0"/>
    <m/>
    <m/>
    <m/>
    <m/>
    <m/>
    <m/>
    <m/>
  </r>
  <r>
    <s v="Universidad Nacional Federico VillarrealDoctorado en Derecho"/>
    <s v="160000021-54-4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5. Ciencias Sociales"/>
    <s v="Doctorado en Derecho"/>
    <m/>
    <n v="50"/>
    <n v="161"/>
    <m/>
    <m/>
    <m/>
    <m/>
    <m/>
    <m/>
    <m/>
    <m/>
    <m/>
    <s v="2020-1"/>
    <n v="100"/>
    <n v="30"/>
    <n v="70"/>
    <n v="40.14"/>
    <n v="59"/>
    <n v="25"/>
    <n v="9.8288587662283931"/>
    <n v="46"/>
    <n v="46"/>
    <n v="1"/>
    <n v="0"/>
    <n v="100"/>
    <n v="0"/>
    <m/>
    <m/>
    <m/>
    <m/>
    <m/>
    <m/>
    <m/>
  </r>
  <r>
    <s v="Universidad Nacional del AltiplanoDoctorado en Ciencias de la Ingeniería Mecánica Eléctrica"/>
    <s v="160000012-20-7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2. Ingeniería y Tecnología"/>
    <s v="Doctorado en Ciencias de la Ingeniería Mecánica Eléctrica"/>
    <m/>
    <m/>
    <n v="18"/>
    <n v="20"/>
    <m/>
    <m/>
    <m/>
    <m/>
    <m/>
    <m/>
    <n v="13"/>
    <m/>
    <s v="2024-2"/>
    <n v="26"/>
    <n v="2"/>
    <n v="24"/>
    <n v="41.153846153846153"/>
    <n v="57"/>
    <n v="57"/>
    <n v="30"/>
    <n v="14"/>
    <n v="14"/>
    <n v="1"/>
    <n v="0"/>
    <n v="26"/>
    <n v="0"/>
    <m/>
    <m/>
    <m/>
    <m/>
    <m/>
    <m/>
    <m/>
  </r>
  <r>
    <s v="Universidad Nacional Federico VillarrealDoctorado en Administración"/>
    <s v="160000021-5-4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5. Ciencias Sociales"/>
    <s v="Doctorado en Administración"/>
    <m/>
    <n v="17"/>
    <n v="63"/>
    <m/>
    <m/>
    <m/>
    <m/>
    <m/>
    <m/>
    <m/>
    <m/>
    <m/>
    <s v="2020-1"/>
    <n v="34"/>
    <n v="14"/>
    <n v="20"/>
    <n v="41.588235294117645"/>
    <n v="57"/>
    <n v="29"/>
    <n v="7.7854473687025783"/>
    <n v="19"/>
    <n v="19"/>
    <n v="1"/>
    <n v="0"/>
    <n v="34"/>
    <n v="0"/>
    <m/>
    <m/>
    <m/>
    <m/>
    <m/>
    <m/>
    <m/>
  </r>
  <r>
    <s v="Universidad Nacional Federico VillarrealDoctorado en Medio Ambiente y Desarrollo Sostenible"/>
    <s v="160000021-212-5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1. Ciencias Naturales"/>
    <s v="Doctorado en Medio Ambiente y Desarrollo Sostenible"/>
    <m/>
    <n v="19"/>
    <n v="60"/>
    <m/>
    <m/>
    <m/>
    <m/>
    <m/>
    <m/>
    <m/>
    <m/>
    <m/>
    <s v="2020-1"/>
    <n v="38"/>
    <n v="12"/>
    <n v="26"/>
    <n v="41.631578947368418"/>
    <n v="60"/>
    <n v="26"/>
    <n v="8.2410346130567209"/>
    <n v="19"/>
    <n v="22"/>
    <n v="1.1578947368421053"/>
    <n v="0"/>
    <n v="38"/>
    <n v="0"/>
    <m/>
    <m/>
    <m/>
    <m/>
    <m/>
    <m/>
    <m/>
  </r>
  <r>
    <s v="Universidad Nacional Federico VillarrealDoctorado en Odontología"/>
    <s v="160000021-221-9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3. Ciencias Médicas y de la Salud"/>
    <s v="Doctorado en Odontología"/>
    <m/>
    <n v="10"/>
    <n v="43"/>
    <m/>
    <m/>
    <m/>
    <m/>
    <m/>
    <m/>
    <m/>
    <m/>
    <m/>
    <s v="2020-1"/>
    <n v="20"/>
    <n v="8"/>
    <n v="12"/>
    <n v="42.2"/>
    <n v="52"/>
    <n v="31"/>
    <n v="6.5179912953543928"/>
    <n v="6"/>
    <m/>
    <n v="0"/>
    <n v="0"/>
    <n v="20"/>
    <n v="0"/>
    <m/>
    <m/>
    <m/>
    <m/>
    <m/>
    <m/>
    <m/>
  </r>
  <r>
    <s v="Universidad Nacional Federico VillarrealDoctorado en Ingeniería de Sistemas"/>
    <s v="160000021-162-6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1. Ciencias Naturales"/>
    <s v="Doctorado en Ingeniería de Sistemas"/>
    <m/>
    <n v="14"/>
    <n v="39"/>
    <m/>
    <m/>
    <m/>
    <m/>
    <m/>
    <m/>
    <m/>
    <m/>
    <m/>
    <s v="2020-1"/>
    <n v="28"/>
    <n v="2"/>
    <n v="26"/>
    <n v="42.285714285714285"/>
    <n v="56"/>
    <n v="29"/>
    <n v="8.0409007366143097"/>
    <n v="16"/>
    <n v="17"/>
    <n v="1.0625"/>
    <n v="0"/>
    <n v="28"/>
    <n v="0"/>
    <m/>
    <m/>
    <m/>
    <m/>
    <m/>
    <m/>
    <m/>
  </r>
  <r>
    <s v="Universidad Continental S.A.C.Doctorado en Administración"/>
    <s v="26000067A-93-4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5. Ciencias Sociales"/>
    <s v="Doctorado en Administración"/>
    <m/>
    <m/>
    <m/>
    <m/>
    <m/>
    <m/>
    <m/>
    <m/>
    <m/>
    <n v="26"/>
    <m/>
    <m/>
    <s v="2024-1"/>
    <n v="26"/>
    <n v="7"/>
    <n v="19"/>
    <n v="42.346153846153847"/>
    <n v="56"/>
    <n v="27"/>
    <n v="8.5647758064869794"/>
    <m/>
    <n v="53"/>
    <m/>
    <n v="0"/>
    <n v="26"/>
    <n v="0"/>
    <m/>
    <m/>
    <m/>
    <m/>
    <m/>
    <m/>
    <m/>
  </r>
  <r>
    <s v="Universidad Nacional Federico VillarrealDoctorado en Educación"/>
    <s v="160000021-79-1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5. Ciencias Sociales"/>
    <s v="Doctorado en Educación"/>
    <m/>
    <n v="9"/>
    <n v="48"/>
    <m/>
    <m/>
    <m/>
    <m/>
    <m/>
    <m/>
    <m/>
    <m/>
    <m/>
    <s v="2020-1"/>
    <n v="18"/>
    <n v="4"/>
    <n v="14"/>
    <n v="42.777777777777779"/>
    <n v="55"/>
    <n v="30"/>
    <n v="9.7591920805648336"/>
    <n v="13"/>
    <n v="13"/>
    <n v="1"/>
    <n v="0"/>
    <n v="18"/>
    <n v="0"/>
    <m/>
    <m/>
    <m/>
    <m/>
    <m/>
    <m/>
    <m/>
  </r>
  <r>
    <s v="Universidad Nacional del AltiplanoDoctorado en Estadística Aplicada"/>
    <s v="160000012-32-5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1. Ciencias Naturales"/>
    <s v="Doctorado en Estadística Aplicada"/>
    <m/>
    <m/>
    <n v="28"/>
    <n v="37"/>
    <m/>
    <m/>
    <m/>
    <m/>
    <m/>
    <m/>
    <n v="13"/>
    <m/>
    <s v="2024-2"/>
    <n v="26"/>
    <n v="10"/>
    <n v="16"/>
    <n v="42.92307692307692"/>
    <n v="60"/>
    <n v="60"/>
    <n v="26"/>
    <n v="18"/>
    <n v="17"/>
    <n v="0.94444444444444442"/>
    <n v="0"/>
    <n v="26"/>
    <n v="0"/>
    <m/>
    <m/>
    <m/>
    <m/>
    <m/>
    <m/>
    <m/>
  </r>
  <r>
    <s v="Universidad Nacional del AltiplanoDoctorado en Ciencia, Tecnología y Medio Ambiente"/>
    <s v="160000012-18-5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1. Ciencias Naturales"/>
    <s v="Doctorado en Ciencia, Tecnología y Medio Ambiente"/>
    <n v="2018"/>
    <m/>
    <n v="127"/>
    <n v="116"/>
    <m/>
    <m/>
    <m/>
    <m/>
    <m/>
    <m/>
    <n v="52"/>
    <m/>
    <s v="2024-2"/>
    <n v="104"/>
    <n v="22"/>
    <n v="82"/>
    <n v="42.980769230769234"/>
    <n v="69"/>
    <n v="69"/>
    <n v="25"/>
    <n v="54"/>
    <n v="54"/>
    <n v="1"/>
    <n v="0"/>
    <n v="104"/>
    <n v="0"/>
    <m/>
    <m/>
    <m/>
    <m/>
    <m/>
    <m/>
    <m/>
  </r>
  <r>
    <s v="Universidad San Ignacio de Loyola S.R.L.Doctorado en Derecho"/>
    <s v="260000057-20-4"/>
    <n v="260000057"/>
    <s v="Universidad San Ignacio de Loyola S.R.L."/>
    <s v="USIL"/>
    <s v="Universidad"/>
    <s v="Privado"/>
    <s v="Societaria- Con fines de lucro"/>
    <s v="LICENCIADA"/>
    <s v="2017 - 2023"/>
    <n v="6"/>
    <s v="LA MOLINA"/>
    <s v=" LIMA"/>
    <s v="LIMA"/>
    <s v="LIMA"/>
    <x v="3"/>
    <s v="5. Ciencias Sociales"/>
    <s v="Doctorado en Derecho"/>
    <m/>
    <n v="8"/>
    <n v="6"/>
    <n v="31"/>
    <m/>
    <n v="23"/>
    <n v="60"/>
    <n v="51"/>
    <n v="86"/>
    <n v="99"/>
    <n v="25"/>
    <n v="65"/>
    <s v="2024-1"/>
    <n v="99"/>
    <n v="35"/>
    <n v="64"/>
    <n v="43.102040816326529"/>
    <n v="65"/>
    <n v="30"/>
    <n v="7.7186209386258406"/>
    <n v="68"/>
    <n v="65"/>
    <n v="0.95588235294117652"/>
    <n v="2"/>
    <n v="96"/>
    <n v="2.0833333333333332E-2"/>
    <n v="0"/>
    <n v="5"/>
    <n v="0"/>
    <n v="0"/>
    <n v="0"/>
    <n v="17"/>
    <n v="0"/>
  </r>
  <r>
    <s v="Universidad Continental S.A.C.Doctorado en Salud Pública y Salud Global"/>
    <s v="26000067A-94-0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5. Ciencias Sociales"/>
    <s v="Doctorado en Salud Pública y Salud Global"/>
    <m/>
    <m/>
    <m/>
    <m/>
    <m/>
    <m/>
    <m/>
    <m/>
    <m/>
    <n v="71"/>
    <m/>
    <m/>
    <s v="2024-1"/>
    <n v="71"/>
    <n v="36"/>
    <n v="35"/>
    <n v="43.594202898550726"/>
    <n v="70"/>
    <n v="27"/>
    <n v="10.326036254194186"/>
    <m/>
    <n v="75"/>
    <m/>
    <n v="0"/>
    <n v="69"/>
    <n v="0"/>
    <m/>
    <m/>
    <m/>
    <m/>
    <m/>
    <m/>
    <m/>
  </r>
  <r>
    <s v="Universidad Nacional Federico VillarrealDoctorado en Salud Pública"/>
    <s v="160000021-249-0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5. Ciencias Sociales"/>
    <s v="Doctorado en Salud Pública"/>
    <m/>
    <n v="20"/>
    <n v="60"/>
    <m/>
    <m/>
    <m/>
    <m/>
    <m/>
    <m/>
    <m/>
    <m/>
    <m/>
    <s v="2020-1"/>
    <n v="40"/>
    <n v="18"/>
    <n v="22"/>
    <n v="43.6"/>
    <n v="65"/>
    <n v="25"/>
    <n v="10.772234013473055"/>
    <n v="22"/>
    <n v="26"/>
    <n v="1.1818181818181819"/>
    <n v="0"/>
    <n v="40"/>
    <n v="0"/>
    <m/>
    <m/>
    <m/>
    <m/>
    <m/>
    <m/>
    <m/>
  </r>
  <r>
    <s v="Universidad Continental S.A.C.Doctorado en Gobierno y Administración Pública"/>
    <s v="26000067A-95-4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5. Ciencias Sociales"/>
    <s v="Doctorado en Gobierno y Administración Pública"/>
    <m/>
    <m/>
    <m/>
    <m/>
    <m/>
    <m/>
    <m/>
    <m/>
    <m/>
    <n v="44"/>
    <m/>
    <m/>
    <s v="2024-1"/>
    <n v="44"/>
    <n v="14"/>
    <n v="30"/>
    <n v="43.97674418604651"/>
    <n v="65"/>
    <n v="24"/>
    <n v="10.058136654311802"/>
    <m/>
    <n v="28"/>
    <m/>
    <n v="0"/>
    <n v="44"/>
    <n v="0"/>
    <m/>
    <m/>
    <m/>
    <m/>
    <m/>
    <m/>
    <m/>
  </r>
  <r>
    <s v="Universidad Continental S.A.C.Doctorado en Derecho"/>
    <s v="26000067A-98-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5. Ciencias Sociales"/>
    <s v="Doctorado en Derecho"/>
    <m/>
    <m/>
    <m/>
    <m/>
    <m/>
    <m/>
    <m/>
    <m/>
    <m/>
    <n v="20"/>
    <m/>
    <m/>
    <s v="2024-1"/>
    <n v="20"/>
    <n v="5"/>
    <n v="15"/>
    <n v="44"/>
    <n v="58"/>
    <n v="29"/>
    <n v="9.4256090128520551"/>
    <n v="52"/>
    <n v="48"/>
    <n v="0.92307692307692313"/>
    <n v="0"/>
    <n v="20"/>
    <n v="0"/>
    <m/>
    <m/>
    <m/>
    <m/>
    <m/>
    <m/>
    <m/>
  </r>
  <r>
    <s v="Universidad Nacional del AltiplanoDoctorado en Ciencia Animal"/>
    <s v="160000012-17-8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4. Ciencias Agrícolas"/>
    <s v="Doctorado en Ciencia Animal"/>
    <m/>
    <m/>
    <n v="43"/>
    <n v="36"/>
    <m/>
    <m/>
    <m/>
    <m/>
    <m/>
    <m/>
    <n v="12"/>
    <m/>
    <s v="2024-2"/>
    <n v="24"/>
    <n v="2"/>
    <n v="22"/>
    <n v="44.166666666666664"/>
    <n v="65"/>
    <n v="65"/>
    <n v="27"/>
    <n v="12"/>
    <n v="12"/>
    <n v="1"/>
    <n v="0"/>
    <n v="24"/>
    <n v="0"/>
    <m/>
    <m/>
    <m/>
    <m/>
    <m/>
    <m/>
    <m/>
  </r>
  <r>
    <s v="Universidad San Ignacio de Loyola S.R.L.Doctorado en Administración"/>
    <s v="260000057-19-4"/>
    <n v="260000057"/>
    <s v="Universidad San Ignacio de Loyola S.R.L."/>
    <s v="USIL"/>
    <s v="Universidad"/>
    <s v="Privado"/>
    <s v="Societaria- Con fines de lucro"/>
    <s v="LICENCIADA"/>
    <s v="2017 - 2023"/>
    <n v="6"/>
    <s v="LA MOLINA"/>
    <s v=" LIMA"/>
    <s v="LIMA"/>
    <s v="LIMA"/>
    <x v="3"/>
    <s v="5. Ciencias Sociales"/>
    <s v="Doctorado en Administración"/>
    <m/>
    <n v="25"/>
    <n v="53"/>
    <n v="80"/>
    <m/>
    <m/>
    <n v="97"/>
    <m/>
    <m/>
    <m/>
    <m/>
    <m/>
    <s v="2022-2"/>
    <n v="194"/>
    <n v="76"/>
    <n v="118"/>
    <n v="44.351063829787201"/>
    <n v="70"/>
    <n v="29"/>
    <n v="9.2842312947207297"/>
    <n v="86"/>
    <n v="76"/>
    <n v="0.88372093023255816"/>
    <n v="2"/>
    <n v="186"/>
    <n v="1.0752688172043012E-2"/>
    <n v="0"/>
    <n v="9"/>
    <n v="11"/>
    <n v="14"/>
    <n v="0"/>
    <n v="4"/>
    <n v="0"/>
  </r>
  <r>
    <s v="Universidad Ricardo PalmaDoctorado en Ciencia Política y Relaciones Internacionales"/>
    <s v="260000030-8-3"/>
    <n v="260000030"/>
    <s v="Universidad Ricardo Palma"/>
    <s v="URP"/>
    <s v="Universidad"/>
    <s v="Privado"/>
    <s v="Asociativa- Sin fines de lucro"/>
    <s v="LICENCIADA"/>
    <s v="2016 - 2022"/>
    <n v="6"/>
    <s v="SANTIAGO DE SURCO"/>
    <s v=" LIMA"/>
    <s v="LIMA"/>
    <s v="LIMA"/>
    <x v="3"/>
    <s v="5. Ciencias Sociales"/>
    <s v="Doctorado en Ciencia Política y Relaciones Internacionales"/>
    <m/>
    <m/>
    <m/>
    <m/>
    <n v="7"/>
    <n v="15"/>
    <m/>
    <n v="28"/>
    <n v="24"/>
    <n v="20"/>
    <n v="19"/>
    <n v="13"/>
    <s v="2024-1"/>
    <n v="20"/>
    <n v="4"/>
    <n v="16"/>
    <n v="45.35"/>
    <n v="65"/>
    <n v="25"/>
    <n v="11.672166623391336"/>
    <m/>
    <m/>
    <m/>
    <n v="0"/>
    <n v="20"/>
    <n v="0"/>
    <m/>
    <m/>
    <m/>
    <m/>
    <m/>
    <m/>
    <m/>
  </r>
  <r>
    <s v="Universidad Nacional del AltiplanoDoctorado en Estadística e Informática"/>
    <s v="160000012-33-5"/>
    <n v="160000012"/>
    <s v="Universidad Nacional del Altiplano"/>
    <s v="UNA"/>
    <s v="Universidad"/>
    <s v="Público"/>
    <s v="Pública"/>
    <s v="LICENCIADA"/>
    <s v="2018 - 2024"/>
    <n v="6"/>
    <s v="PUNO"/>
    <s v=" PUNO"/>
    <s v="PUNO"/>
    <s v="SIERRA"/>
    <x v="3"/>
    <s v="1. Ciencias Naturales"/>
    <s v="Doctorado en Estadística e Informática"/>
    <m/>
    <m/>
    <n v="23"/>
    <n v="27"/>
    <m/>
    <m/>
    <m/>
    <m/>
    <m/>
    <m/>
    <m/>
    <m/>
    <s v="2020-2"/>
    <n v="46"/>
    <n v="6"/>
    <n v="40"/>
    <n v="46.565217391304351"/>
    <n v="65"/>
    <n v="33"/>
    <n v="8.7525289651062579"/>
    <m/>
    <m/>
    <m/>
    <n v="0"/>
    <n v="46"/>
    <n v="0"/>
    <m/>
    <m/>
    <m/>
    <m/>
    <m/>
    <m/>
    <m/>
  </r>
  <r>
    <s v="Universidad Nacional Federico VillarrealDoctorado en Contabilidad"/>
    <s v="160000021-49-4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5. Ciencias Sociales"/>
    <s v="Doctorado en Contabilidad"/>
    <m/>
    <m/>
    <n v="13"/>
    <m/>
    <m/>
    <m/>
    <m/>
    <m/>
    <m/>
    <m/>
    <m/>
    <m/>
    <s v="2020-2"/>
    <n v="26"/>
    <n v="12"/>
    <n v="14"/>
    <n v="47"/>
    <n v="63"/>
    <n v="30"/>
    <n v="9.3380940239430021"/>
    <n v="16"/>
    <n v="16"/>
    <n v="1"/>
    <n v="0"/>
    <n v="26"/>
    <n v="0"/>
    <m/>
    <m/>
    <m/>
    <m/>
    <m/>
    <m/>
    <m/>
  </r>
  <r>
    <s v="Universidad de LimaDoctorado en Comunicación"/>
    <s v="260000018-44-"/>
    <n v="260000018"/>
    <s v="Universidad de Lima"/>
    <s v="UL"/>
    <s v="Universidad"/>
    <s v="Privado"/>
    <s v="Asociativa- Sin fines de lucro"/>
    <s v="LICENCIADA"/>
    <s v="2016 - 2022"/>
    <n v="6"/>
    <s v="SANTIAGO DE SURCO"/>
    <s v=" LIMA"/>
    <s v="LIMA"/>
    <s v="LIMA"/>
    <x v="3"/>
    <s v="5. Ciencias Sociales"/>
    <s v="Doctorado en Comunicación"/>
    <m/>
    <m/>
    <m/>
    <m/>
    <m/>
    <m/>
    <m/>
    <m/>
    <m/>
    <m/>
    <n v="16"/>
    <n v="14"/>
    <s v="2024-2"/>
    <n v="32"/>
    <n v="16"/>
    <n v="16"/>
    <n v="47.733333333333334"/>
    <n v="62"/>
    <n v="62"/>
    <n v="35"/>
    <n v="20"/>
    <n v="16"/>
    <n v="0.8"/>
    <n v="0"/>
    <n v="30"/>
    <n v="0"/>
    <m/>
    <m/>
    <m/>
    <m/>
    <m/>
    <m/>
    <m/>
  </r>
  <r>
    <s v="Universidad Ricardo PalmaDoctorado en Administración de Negocios Globales"/>
    <s v="260000030-7-4"/>
    <n v="260000030"/>
    <s v="Universidad Ricardo Palma"/>
    <s v="URP"/>
    <s v="Universidad"/>
    <s v="Privado"/>
    <s v="Asociativa- Sin fines de lucro"/>
    <s v="LICENCIADA"/>
    <s v="2016 - 2022"/>
    <n v="6"/>
    <s v="SANTIAGO DE SURCO"/>
    <s v=" LIMA"/>
    <s v="LIMA"/>
    <s v="LIMA"/>
    <x v="3"/>
    <s v="5. Ciencias Sociales"/>
    <s v="Doctorado en Administración de Negocios Globales"/>
    <m/>
    <n v="47"/>
    <m/>
    <m/>
    <n v="49"/>
    <n v="44"/>
    <m/>
    <n v="38"/>
    <n v="33"/>
    <n v="21"/>
    <n v="20"/>
    <n v="16"/>
    <s v="2024-1"/>
    <n v="21"/>
    <n v="8"/>
    <n v="13"/>
    <n v="48.285714285714285"/>
    <n v="63"/>
    <n v="37"/>
    <n v="8.1617575138131784"/>
    <m/>
    <m/>
    <m/>
    <n v="1"/>
    <n v="20"/>
    <n v="0.05"/>
    <n v="0"/>
    <n v="9"/>
    <n v="0"/>
    <n v="0"/>
    <n v="0"/>
    <n v="0"/>
    <n v="0"/>
  </r>
  <r>
    <s v="Universidad Nacional Federico VillarrealDoctorado en Psicología"/>
    <s v="160000021-229-3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5. Ciencias Sociales"/>
    <s v="Doctorado en Psicología"/>
    <m/>
    <m/>
    <n v="8"/>
    <m/>
    <m/>
    <m/>
    <m/>
    <m/>
    <m/>
    <m/>
    <m/>
    <m/>
    <s v="2020-2"/>
    <n v="16"/>
    <n v="16"/>
    <n v="0"/>
    <n v="48.75"/>
    <n v="65"/>
    <n v="37"/>
    <n v="8.8656641037206008"/>
    <n v="5"/>
    <m/>
    <n v="0"/>
    <n v="0"/>
    <n v="16"/>
    <n v="0"/>
    <m/>
    <m/>
    <m/>
    <m/>
    <m/>
    <m/>
    <m/>
  </r>
  <r>
    <s v="Universidad San Ignacio de Loyola S.R.L.Doctorado en Educación"/>
    <s v="260000057-21-1"/>
    <n v="260000057"/>
    <s v="Universidad San Ignacio de Loyola S.R.L."/>
    <s v="USIL"/>
    <s v="Universidad"/>
    <s v="Privado"/>
    <s v="Societaria- Con fines de lucro"/>
    <s v="LICENCIADA"/>
    <s v="2017 - 2023"/>
    <n v="6"/>
    <s v="LA MOLINA"/>
    <s v=" LIMA"/>
    <s v="LIMA"/>
    <s v="LIMA"/>
    <x v="3"/>
    <s v="5. Ciencias Sociales"/>
    <s v="Doctorado en Educación"/>
    <m/>
    <n v="47"/>
    <n v="68"/>
    <n v="103"/>
    <n v="48"/>
    <n v="10"/>
    <n v="156"/>
    <n v="35"/>
    <n v="32"/>
    <n v="28"/>
    <n v="64"/>
    <n v="155"/>
    <s v="2024-1"/>
    <n v="28"/>
    <n v="16"/>
    <n v="12"/>
    <n v="50.642857142857146"/>
    <n v="63"/>
    <n v="35"/>
    <n v="8.4774834041550697"/>
    <n v="103"/>
    <n v="98"/>
    <n v="0.95145631067961167"/>
    <n v="0"/>
    <n v="28"/>
    <n v="0"/>
    <n v="10"/>
    <n v="18"/>
    <n v="23"/>
    <n v="0"/>
    <n v="0"/>
    <n v="43"/>
    <n v="0"/>
  </r>
  <r>
    <s v="Universidad de LimaDoctorado en Administración"/>
    <s v="260000018-40-4"/>
    <n v="260000018"/>
    <s v="Universidad de Lima"/>
    <s v="UL"/>
    <s v="Universidad"/>
    <s v="Privado"/>
    <s v="Asociativa- Sin fines de lucro"/>
    <s v="LICENCIADA"/>
    <s v="2016 - 2022"/>
    <n v="6"/>
    <s v="SANTIAGO DE SURCO"/>
    <s v=" LIMA"/>
    <s v="LIMA"/>
    <s v="LIMA"/>
    <x v="3"/>
    <s v="5. Ciencias Sociales"/>
    <s v="Doctorado en Administración"/>
    <m/>
    <m/>
    <m/>
    <m/>
    <m/>
    <m/>
    <m/>
    <m/>
    <n v="20"/>
    <n v="20"/>
    <n v="40"/>
    <n v="41"/>
    <s v="2024-1"/>
    <n v="20"/>
    <n v="5"/>
    <n v="15"/>
    <n v="51"/>
    <n v="64"/>
    <n v="35"/>
    <n v="8.130873945100312"/>
    <n v="25"/>
    <n v="21"/>
    <n v="0.84"/>
    <n v="1"/>
    <n v="18"/>
    <n v="5.5555555555555552E-2"/>
    <m/>
    <m/>
    <m/>
    <m/>
    <m/>
    <m/>
    <m/>
  </r>
  <r>
    <s v="Universidad San Ignacio de Loyola S.R.L.Doctorado en Nutrición y Alimentos"/>
    <s v="260000057-22-9"/>
    <n v="260000057"/>
    <s v="Universidad San Ignacio de Loyola S.R.L."/>
    <s v="USIL"/>
    <s v="Universidad"/>
    <s v="Privado"/>
    <s v="Societaria- Con fines de lucro"/>
    <s v="LICENCIADA"/>
    <s v="2017 - 2023"/>
    <n v="6"/>
    <s v="LA MOLINA"/>
    <s v=" LIMA"/>
    <s v="LIMA"/>
    <s v="LIMA"/>
    <x v="3"/>
    <s v="3. Ciencias Médicas y de la Salud"/>
    <s v="Doctorado en Nutrición y Alimentos"/>
    <m/>
    <n v="20"/>
    <n v="20"/>
    <n v="30"/>
    <m/>
    <n v="9"/>
    <n v="25"/>
    <n v="7"/>
    <n v="7"/>
    <n v="7"/>
    <m/>
    <m/>
    <s v="2024-1"/>
    <n v="7"/>
    <n v="4"/>
    <n v="3"/>
    <n v="51"/>
    <n v="61"/>
    <n v="38"/>
    <n v="7.0710678118654755"/>
    <m/>
    <m/>
    <m/>
    <n v="1"/>
    <n v="6"/>
    <n v="0.16666666666666666"/>
    <n v="0"/>
    <n v="18"/>
    <n v="0"/>
    <n v="0"/>
    <n v="0"/>
    <n v="7"/>
    <n v="0"/>
  </r>
  <r>
    <s v="Universidad ESANDoctorado en Ciencias de la Administración"/>
    <s v="260000079-5-4"/>
    <n v="260000079"/>
    <s v="Universidad ESAN"/>
    <s v="UE"/>
    <s v="Universidad"/>
    <s v="Privado"/>
    <s v="Asociativa- Sin fines de lucro"/>
    <s v="LICENCIADA"/>
    <s v="2018 - 2024"/>
    <n v="6"/>
    <s v="SANTIAGO DE SURCO"/>
    <s v=" LIMA"/>
    <s v="LIMA"/>
    <s v="LIMA"/>
    <x v="3"/>
    <s v="5. Ciencias Sociales"/>
    <s v="Doctorado en Ciencias de la Administración"/>
    <m/>
    <n v="24"/>
    <n v="27"/>
    <n v="28"/>
    <n v="29"/>
    <n v="27"/>
    <n v="23"/>
    <n v="21"/>
    <n v="10"/>
    <n v="7"/>
    <n v="6"/>
    <n v="7"/>
    <s v="2024-1"/>
    <n v="7"/>
    <n v="0"/>
    <n v="7"/>
    <n v="51.857142857142854"/>
    <n v="67"/>
    <n v="37"/>
    <n v="14.076322571710868"/>
    <n v="1"/>
    <n v="1"/>
    <n v="1"/>
    <n v="0"/>
    <n v="7"/>
    <n v="0"/>
    <n v="0"/>
    <n v="1"/>
    <n v="7"/>
    <n v="1"/>
    <n v="0"/>
    <n v="1"/>
    <n v="0"/>
  </r>
  <r>
    <s v="Universidad Nacional Federico VillarrealDoctorado en Ingeniería Ambiental"/>
    <s v="160000021-148-5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1. Ciencias Naturales"/>
    <s v="Doctorado en Ingeniería Ambiental"/>
    <m/>
    <m/>
    <n v="20"/>
    <m/>
    <m/>
    <m/>
    <m/>
    <m/>
    <m/>
    <m/>
    <m/>
    <m/>
    <s v="2020-2"/>
    <n v="40"/>
    <n v="12"/>
    <n v="28"/>
    <n v="54.1"/>
    <n v="70"/>
    <n v="40"/>
    <n v="9.4727679868839534"/>
    <n v="7"/>
    <m/>
    <n v="0"/>
    <n v="0"/>
    <n v="40"/>
    <n v="0"/>
    <m/>
    <m/>
    <m/>
    <m/>
    <m/>
    <m/>
    <m/>
  </r>
  <r>
    <m/>
    <s v="160000033-9-4"/>
    <n v="160000033"/>
    <s v="Universidad Nacional Santiago Antúnez de Mayolo"/>
    <s v="UNASAM"/>
    <s v="Universidad"/>
    <s v="Público"/>
    <s v="Pública"/>
    <s v="LICENCIADA"/>
    <s v="2019 - 2025"/>
    <n v="6"/>
    <s v="INDEPENDENCIA"/>
    <s v=" HUARAZ"/>
    <s v="ÁNCASH"/>
    <s v="COSTA"/>
    <x v="3"/>
    <s v="5. Ciencias Sociales"/>
    <s v="Doctorado en Administración"/>
    <m/>
    <m/>
    <m/>
    <m/>
    <m/>
    <m/>
    <m/>
    <m/>
    <m/>
    <m/>
    <m/>
    <m/>
    <s v="2023-1"/>
    <m/>
    <m/>
    <m/>
    <m/>
    <m/>
    <m/>
    <m/>
    <n v="19"/>
    <n v="19"/>
    <n v="1"/>
    <m/>
    <m/>
    <m/>
    <m/>
    <m/>
    <m/>
    <m/>
    <m/>
    <m/>
    <m/>
  </r>
  <r>
    <s v="Universidad Continental S.A.C.Doctorado en Administración"/>
    <s v="26000067A-93-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5. Ciencias Sociales"/>
    <s v="Doctorado en Administración"/>
    <m/>
    <m/>
    <m/>
    <m/>
    <m/>
    <m/>
    <m/>
    <m/>
    <m/>
    <m/>
    <m/>
    <m/>
    <m/>
    <m/>
    <m/>
    <m/>
    <m/>
    <m/>
    <m/>
    <m/>
    <n v="63"/>
    <m/>
    <n v="0"/>
    <m/>
    <m/>
    <m/>
    <m/>
    <m/>
    <m/>
    <m/>
    <m/>
    <m/>
    <m/>
  </r>
  <r>
    <s v="Universidad Nacional de TrujilloDoctorado en Administración"/>
    <s v="160000004-12-4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5. Ciencias Sociales"/>
    <s v="Doctorado en Administración"/>
    <m/>
    <m/>
    <m/>
    <m/>
    <m/>
    <m/>
    <m/>
    <m/>
    <m/>
    <m/>
    <m/>
    <m/>
    <m/>
    <m/>
    <m/>
    <m/>
    <m/>
    <m/>
    <m/>
    <m/>
    <n v="17"/>
    <n v="25"/>
    <n v="1.4705882352941178"/>
    <m/>
    <m/>
    <m/>
    <m/>
    <m/>
    <m/>
    <m/>
    <m/>
    <m/>
    <m/>
  </r>
  <r>
    <s v="Universidad Nacional de San Agustín de ArequipaDoctorado en Administración (DBA)"/>
    <s v="160000005-305-4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5. Ciencias Sociales"/>
    <s v="Doctorado en Administración (DBA)"/>
    <m/>
    <m/>
    <m/>
    <m/>
    <m/>
    <m/>
    <m/>
    <m/>
    <m/>
    <m/>
    <m/>
    <m/>
    <m/>
    <m/>
    <m/>
    <m/>
    <m/>
    <m/>
    <m/>
    <m/>
    <n v="58"/>
    <n v="55"/>
    <n v="0.94827586206896552"/>
    <m/>
    <m/>
    <m/>
    <m/>
    <m/>
    <m/>
    <m/>
    <m/>
    <m/>
    <m/>
  </r>
  <r>
    <s v="Universidad Nacional de San Agustín de ArequipaDoctorado en Arquitectura y Urbanismo"/>
    <s v="160000005-46-7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2. Ingeniería y Tecnología"/>
    <s v="Doctorado en Arquitectura y Urbanismo"/>
    <m/>
    <m/>
    <m/>
    <m/>
    <m/>
    <m/>
    <m/>
    <m/>
    <m/>
    <m/>
    <m/>
    <m/>
    <m/>
    <m/>
    <m/>
    <m/>
    <m/>
    <m/>
    <m/>
    <m/>
    <n v="11"/>
    <n v="11"/>
    <n v="1"/>
    <m/>
    <m/>
    <m/>
    <m/>
    <m/>
    <m/>
    <m/>
    <m/>
    <m/>
    <m/>
  </r>
  <r>
    <s v="Universidad Nacional de TrujilloDoctorado en Ciencias Agropecuarias"/>
    <s v="160000004-13-8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4. Ciencias Agrícolas"/>
    <s v="Doctorado en Ciencias Agropecuarias"/>
    <m/>
    <m/>
    <m/>
    <m/>
    <m/>
    <m/>
    <m/>
    <m/>
    <m/>
    <m/>
    <m/>
    <m/>
    <m/>
    <m/>
    <m/>
    <m/>
    <m/>
    <m/>
    <m/>
    <m/>
    <n v="4"/>
    <n v="6"/>
    <n v="1.5"/>
    <m/>
    <m/>
    <m/>
    <m/>
    <m/>
    <m/>
    <m/>
    <m/>
    <m/>
    <m/>
  </r>
  <r>
    <s v="Universidad Nacional de TrujilloDoctorado en Ciencias Ambientales"/>
    <s v="160000004-14-5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1. Ciencias Naturales"/>
    <s v="Doctorado en Ciencias Ambientales"/>
    <m/>
    <m/>
    <m/>
    <m/>
    <m/>
    <m/>
    <m/>
    <m/>
    <m/>
    <m/>
    <m/>
    <m/>
    <m/>
    <m/>
    <m/>
    <m/>
    <m/>
    <m/>
    <m/>
    <m/>
    <n v="8"/>
    <n v="7"/>
    <n v="0.875"/>
    <m/>
    <m/>
    <m/>
    <m/>
    <m/>
    <m/>
    <m/>
    <m/>
    <m/>
    <m/>
  </r>
  <r>
    <s v="Universidad Nacional de TrujilloDoctorado en Ciencias Biológicas"/>
    <s v="160000004-15-5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1. Ciencias Naturales"/>
    <s v="Doctorado en Ciencias Biológicas"/>
    <m/>
    <m/>
    <m/>
    <m/>
    <m/>
    <m/>
    <m/>
    <m/>
    <m/>
    <m/>
    <m/>
    <m/>
    <m/>
    <m/>
    <m/>
    <m/>
    <m/>
    <m/>
    <m/>
    <m/>
    <n v="6"/>
    <n v="6"/>
    <n v="1"/>
    <m/>
    <m/>
    <m/>
    <m/>
    <m/>
    <m/>
    <m/>
    <m/>
    <m/>
    <m/>
  </r>
  <r>
    <s v="Universidad Nacional de TrujilloDoctorado en Ciencias de Enfermería"/>
    <s v="160000004-17-9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3. Ciencias Médicas y de la Salud"/>
    <s v="Doctorado en Ciencias de Enfermería"/>
    <m/>
    <m/>
    <m/>
    <m/>
    <m/>
    <m/>
    <m/>
    <m/>
    <m/>
    <m/>
    <m/>
    <m/>
    <m/>
    <m/>
    <m/>
    <m/>
    <m/>
    <m/>
    <m/>
    <m/>
    <n v="10"/>
    <n v="9"/>
    <n v="0.9"/>
    <m/>
    <m/>
    <m/>
    <m/>
    <m/>
    <m/>
    <m/>
    <m/>
    <m/>
    <m/>
  </r>
  <r>
    <m/>
    <s v="160000005-51-6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5. Ciencias Sociales"/>
    <s v="Doctorado en Ciencias de la Computación"/>
    <n v="2020"/>
    <m/>
    <m/>
    <m/>
    <m/>
    <m/>
    <m/>
    <m/>
    <m/>
    <m/>
    <m/>
    <m/>
    <s v="2022-1"/>
    <m/>
    <m/>
    <m/>
    <m/>
    <m/>
    <m/>
    <m/>
    <n v="11"/>
    <n v="9"/>
    <n v="0.81818181818181823"/>
    <m/>
    <m/>
    <m/>
    <m/>
    <m/>
    <m/>
    <m/>
    <m/>
    <m/>
    <m/>
  </r>
  <r>
    <s v="Universidad Nacional de TrujilloDoctorado en Ciencias de la Educación"/>
    <s v="160000004-18-1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5. Ciencias Sociales"/>
    <s v="Doctorado en Ciencias de la Educación"/>
    <m/>
    <m/>
    <m/>
    <m/>
    <m/>
    <m/>
    <m/>
    <m/>
    <m/>
    <m/>
    <m/>
    <m/>
    <m/>
    <m/>
    <m/>
    <m/>
    <m/>
    <m/>
    <m/>
    <m/>
    <n v="24"/>
    <n v="25"/>
    <n v="1.0416666666666667"/>
    <m/>
    <m/>
    <m/>
    <m/>
    <m/>
    <m/>
    <m/>
    <m/>
    <m/>
    <m/>
  </r>
  <r>
    <m/>
    <s v="160000033-11-9"/>
    <n v="160000033"/>
    <s v="Universidad Nacional Santiago Antúnez de Mayolo"/>
    <s v="UNASAM"/>
    <s v="Universidad"/>
    <s v="Público"/>
    <s v="Pública"/>
    <s v="LICENCIADA"/>
    <s v="2019 - 2025"/>
    <n v="6"/>
    <s v="INDEPENDENCIA"/>
    <s v=" HUARAZ"/>
    <s v="ÁNCASH"/>
    <s v="COSTA"/>
    <x v="3"/>
    <s v="3. Ciencias Médicas y de la Salud"/>
    <s v="Doctorado en Ciencias de la Salud"/>
    <m/>
    <m/>
    <m/>
    <m/>
    <m/>
    <m/>
    <m/>
    <m/>
    <m/>
    <m/>
    <m/>
    <m/>
    <s v="2022-1"/>
    <m/>
    <m/>
    <m/>
    <m/>
    <m/>
    <m/>
    <m/>
    <n v="18"/>
    <n v="18"/>
    <n v="1"/>
    <m/>
    <m/>
    <m/>
    <m/>
    <m/>
    <m/>
    <m/>
    <m/>
    <m/>
    <m/>
  </r>
  <r>
    <s v="Universidad Nacional de TrujilloDoctorado en Ciencias e Ingeniería"/>
    <s v="160000004-20-5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2. Ingeniería y Tecnología"/>
    <s v="Doctorado en Ciencias e Ingeniería"/>
    <m/>
    <m/>
    <m/>
    <m/>
    <m/>
    <m/>
    <m/>
    <m/>
    <m/>
    <m/>
    <m/>
    <m/>
    <m/>
    <m/>
    <m/>
    <m/>
    <m/>
    <m/>
    <m/>
    <m/>
    <n v="29"/>
    <n v="26"/>
    <n v="0.89655172413793105"/>
    <m/>
    <m/>
    <m/>
    <m/>
    <m/>
    <m/>
    <m/>
    <m/>
    <m/>
    <m/>
  </r>
  <r>
    <s v="Universidad Nacional de San Agustín de ArequipaDoctorado en Ciencias Gobernabilidad y Gestión Pública Estratégica"/>
    <s v="160000005-53-4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5. Ciencias Sociales"/>
    <s v="Doctorado en Ciencias Gobernabilidad y Gestión Pública Estratégica"/>
    <m/>
    <m/>
    <m/>
    <m/>
    <m/>
    <m/>
    <m/>
    <m/>
    <m/>
    <m/>
    <m/>
    <m/>
    <m/>
    <m/>
    <m/>
    <m/>
    <m/>
    <m/>
    <m/>
    <m/>
    <n v="45"/>
    <n v="45"/>
    <n v="1"/>
    <m/>
    <m/>
    <m/>
    <m/>
    <m/>
    <m/>
    <m/>
    <m/>
    <m/>
    <m/>
  </r>
  <r>
    <m/>
    <s v="160000005-54-3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5. Ciencias Sociales"/>
    <s v="Doctorado en Ciencias Sociales"/>
    <m/>
    <m/>
    <m/>
    <m/>
    <m/>
    <m/>
    <m/>
    <m/>
    <m/>
    <m/>
    <m/>
    <m/>
    <s v="2023-1"/>
    <m/>
    <m/>
    <m/>
    <m/>
    <m/>
    <m/>
    <m/>
    <n v="18"/>
    <n v="17"/>
    <n v="0.94444444444444442"/>
    <m/>
    <m/>
    <m/>
    <m/>
    <m/>
    <m/>
    <m/>
    <m/>
    <m/>
    <m/>
  </r>
  <r>
    <s v="Universidad Nacional de San Agustín de ArequipaDoctorado en Ciencias y Tecnologías Medioambientales"/>
    <s v="160000005-56-5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2. Ingeniería y Tecnología"/>
    <s v="Doctorado en Ciencias y Tecnologías Medioambientales"/>
    <m/>
    <m/>
    <m/>
    <m/>
    <m/>
    <m/>
    <m/>
    <m/>
    <m/>
    <m/>
    <m/>
    <m/>
    <m/>
    <m/>
    <m/>
    <m/>
    <m/>
    <m/>
    <m/>
    <m/>
    <n v="19"/>
    <n v="17"/>
    <n v="0.89473684210526316"/>
    <m/>
    <m/>
    <m/>
    <m/>
    <m/>
    <m/>
    <m/>
    <m/>
    <m/>
    <m/>
  </r>
  <r>
    <s v="Universidad Nacional de San Agustín de ArequipaDoctorado en Ciencias: Educación"/>
    <s v="160000005-60-1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5. Ciencias Sociales"/>
    <s v="Doctorado en Ciencias: Educación"/>
    <m/>
    <m/>
    <m/>
    <m/>
    <m/>
    <m/>
    <m/>
    <m/>
    <m/>
    <m/>
    <m/>
    <m/>
    <m/>
    <m/>
    <m/>
    <m/>
    <m/>
    <m/>
    <m/>
    <m/>
    <n v="61"/>
    <n v="58"/>
    <n v="0.95081967213114749"/>
    <m/>
    <m/>
    <m/>
    <m/>
    <m/>
    <m/>
    <m/>
    <m/>
    <m/>
    <m/>
  </r>
  <r>
    <s v="Universidad Nacional de San Agustín de ArequipaDoctorado en Ciencias: Química"/>
    <s v="160000005-68-5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1. Ciencias Naturales"/>
    <s v="Doctorado en Ciencias: Química"/>
    <m/>
    <m/>
    <m/>
    <m/>
    <m/>
    <m/>
    <m/>
    <m/>
    <m/>
    <m/>
    <m/>
    <m/>
    <m/>
    <m/>
    <m/>
    <m/>
    <m/>
    <m/>
    <m/>
    <m/>
    <n v="9"/>
    <n v="9"/>
    <n v="1"/>
    <m/>
    <m/>
    <m/>
    <m/>
    <m/>
    <m/>
    <m/>
    <m/>
    <m/>
    <m/>
  </r>
  <r>
    <s v="Universidad Nacional de San Agustín de ArequipaDoctorado en Ciencias: Salud Pública"/>
    <s v="160000005-70-0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3. Ciencias Médicas y de la Salud"/>
    <s v="Doctorado en Ciencias: Salud Pública"/>
    <m/>
    <m/>
    <m/>
    <m/>
    <m/>
    <m/>
    <m/>
    <m/>
    <m/>
    <m/>
    <m/>
    <m/>
    <m/>
    <m/>
    <m/>
    <m/>
    <m/>
    <m/>
    <m/>
    <m/>
    <n v="16"/>
    <n v="15"/>
    <n v="0.9375"/>
    <m/>
    <m/>
    <m/>
    <m/>
    <m/>
    <m/>
    <m/>
    <m/>
    <m/>
    <m/>
  </r>
  <r>
    <s v="Universidad Nacional de TrujilloDoctorado en Contabilidad y Finanzas"/>
    <s v="160000004-23-4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5. Ciencias Sociales"/>
    <s v="Doctorado en Contabilidad y Finanzas"/>
    <m/>
    <m/>
    <m/>
    <m/>
    <m/>
    <m/>
    <m/>
    <m/>
    <m/>
    <m/>
    <m/>
    <m/>
    <m/>
    <m/>
    <m/>
    <m/>
    <m/>
    <m/>
    <m/>
    <m/>
    <n v="6"/>
    <n v="9"/>
    <n v="1.5"/>
    <m/>
    <m/>
    <m/>
    <m/>
    <m/>
    <m/>
    <m/>
    <m/>
    <m/>
    <m/>
  </r>
  <r>
    <s v="Universidad Nacional de TrujilloDoctorado en Derecho y Ciencias Políticas"/>
    <s v="160000004-24-4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5. Ciencias Sociales"/>
    <s v="Doctorado en Derecho y Ciencias Políticas"/>
    <m/>
    <m/>
    <m/>
    <m/>
    <m/>
    <m/>
    <m/>
    <m/>
    <m/>
    <m/>
    <m/>
    <m/>
    <m/>
    <m/>
    <m/>
    <m/>
    <m/>
    <m/>
    <m/>
    <m/>
    <n v="29"/>
    <n v="30"/>
    <n v="1.0344827586206897"/>
    <m/>
    <m/>
    <m/>
    <m/>
    <m/>
    <m/>
    <m/>
    <m/>
    <m/>
    <m/>
  </r>
  <r>
    <s v="Universidad Nacional Santiago Antúnez de MayoloDoctorado en Derecho y Ciencias Políticas"/>
    <s v="160000033-13-4"/>
    <n v="160000033"/>
    <s v="Universidad Nacional Santiago Antúnez de Mayolo"/>
    <s v="UNASAM"/>
    <s v="Universidad"/>
    <s v="Público"/>
    <s v="Pública"/>
    <s v="LICENCIADA"/>
    <s v="2019 - 2025"/>
    <n v="6"/>
    <s v="INDEPENDENCIA"/>
    <s v=" HUARAZ"/>
    <s v="ÁNCASH"/>
    <s v="COSTA"/>
    <x v="3"/>
    <s v="5. Ciencias Sociales"/>
    <s v="Doctorado en Derecho y Ciencias Políticas"/>
    <m/>
    <m/>
    <m/>
    <m/>
    <m/>
    <m/>
    <m/>
    <m/>
    <m/>
    <m/>
    <m/>
    <m/>
    <m/>
    <m/>
    <m/>
    <m/>
    <m/>
    <m/>
    <m/>
    <m/>
    <n v="17"/>
    <n v="17"/>
    <n v="1"/>
    <m/>
    <m/>
    <m/>
    <m/>
    <m/>
    <m/>
    <m/>
    <m/>
    <m/>
    <m/>
  </r>
  <r>
    <m/>
    <s v="160000033-14-3"/>
    <n v="160000033"/>
    <s v="Universidad Nacional Santiago Antúnez de Mayolo"/>
    <s v="UNASAM"/>
    <s v="Universidad"/>
    <s v="Público"/>
    <s v="Pública"/>
    <s v="LICENCIADA"/>
    <s v="2019 - 2025"/>
    <n v="6"/>
    <s v="INDEPENDENCIA"/>
    <s v=" HUARAZ"/>
    <s v="ÁNCASH"/>
    <s v="COSTA"/>
    <x v="3"/>
    <s v="5. Ciencias Sociales"/>
    <s v="Doctorado en Economía"/>
    <m/>
    <m/>
    <m/>
    <m/>
    <m/>
    <m/>
    <m/>
    <m/>
    <m/>
    <m/>
    <m/>
    <m/>
    <s v="2022-1"/>
    <m/>
    <m/>
    <m/>
    <m/>
    <m/>
    <m/>
    <m/>
    <n v="16"/>
    <n v="16"/>
    <n v="1"/>
    <m/>
    <m/>
    <m/>
    <m/>
    <m/>
    <m/>
    <m/>
    <m/>
    <m/>
    <m/>
  </r>
  <r>
    <s v="Universidad Nacional Federico VillarrealDoctorado en Economía"/>
    <s v="160000021-74-3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5. Ciencias Sociales"/>
    <s v="Doctorado en Economía"/>
    <m/>
    <m/>
    <m/>
    <m/>
    <m/>
    <m/>
    <m/>
    <m/>
    <m/>
    <m/>
    <m/>
    <m/>
    <m/>
    <m/>
    <m/>
    <m/>
    <m/>
    <m/>
    <m/>
    <m/>
    <n v="10"/>
    <n v="10"/>
    <n v="1"/>
    <m/>
    <m/>
    <m/>
    <m/>
    <m/>
    <m/>
    <m/>
    <m/>
    <m/>
    <m/>
  </r>
  <r>
    <s v="Universidad Nacional Santiago Antúnez de MayoloDoctorado en Educación"/>
    <s v="160000033-15-1"/>
    <n v="160000033"/>
    <s v="Universidad Nacional Santiago Antúnez de Mayolo"/>
    <s v="UNASAM"/>
    <s v="Universidad"/>
    <s v="Público"/>
    <s v="Pública"/>
    <s v="LICENCIADA"/>
    <s v="2019 - 2025"/>
    <n v="6"/>
    <s v="INDEPENDENCIA"/>
    <s v=" HUARAZ"/>
    <s v="ÁNCASH"/>
    <s v="COSTA"/>
    <x v="3"/>
    <s v="5. Ciencias Sociales"/>
    <s v="Doctorado en Educación"/>
    <m/>
    <m/>
    <m/>
    <m/>
    <m/>
    <m/>
    <m/>
    <m/>
    <m/>
    <m/>
    <m/>
    <m/>
    <m/>
    <m/>
    <m/>
    <m/>
    <m/>
    <m/>
    <m/>
    <m/>
    <n v="19"/>
    <n v="19"/>
    <n v="1"/>
    <m/>
    <m/>
    <m/>
    <m/>
    <m/>
    <m/>
    <m/>
    <m/>
    <m/>
    <m/>
  </r>
  <r>
    <s v="Universidad Nacional de TrujilloDoctorado en Estomatología"/>
    <s v="160000004-27-9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3. Ciencias Médicas y de la Salud"/>
    <s v="Doctorado en Estomatología"/>
    <m/>
    <m/>
    <m/>
    <m/>
    <m/>
    <m/>
    <m/>
    <m/>
    <m/>
    <m/>
    <m/>
    <m/>
    <m/>
    <m/>
    <m/>
    <m/>
    <m/>
    <m/>
    <m/>
    <m/>
    <n v="4"/>
    <n v="4"/>
    <n v="1"/>
    <m/>
    <m/>
    <m/>
    <m/>
    <m/>
    <m/>
    <m/>
    <m/>
    <m/>
    <m/>
  </r>
  <r>
    <s v="Universidad Nacional de TrujilloDoctorado en Farmacia y Bioquímica"/>
    <s v="160000004-28-9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3. Ciencias Médicas y de la Salud"/>
    <s v="Doctorado en Farmacia y Bioquímica"/>
    <n v="2018"/>
    <m/>
    <m/>
    <m/>
    <m/>
    <m/>
    <m/>
    <m/>
    <m/>
    <m/>
    <m/>
    <m/>
    <m/>
    <m/>
    <m/>
    <m/>
    <m/>
    <m/>
    <m/>
    <m/>
    <n v="6"/>
    <n v="6"/>
    <n v="1"/>
    <m/>
    <m/>
    <m/>
    <m/>
    <m/>
    <m/>
    <m/>
    <m/>
    <m/>
    <m/>
  </r>
  <r>
    <s v="Universidad Nacional de TrujilloDoctorado en Física"/>
    <s v="160000004-29-5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1. Ciencias Naturales"/>
    <s v="Doctorado en Física"/>
    <m/>
    <m/>
    <m/>
    <m/>
    <m/>
    <m/>
    <m/>
    <m/>
    <m/>
    <m/>
    <m/>
    <m/>
    <m/>
    <m/>
    <m/>
    <m/>
    <m/>
    <m/>
    <m/>
    <m/>
    <n v="5"/>
    <n v="5"/>
    <n v="1"/>
    <m/>
    <m/>
    <m/>
    <m/>
    <m/>
    <m/>
    <m/>
    <m/>
    <m/>
    <m/>
  </r>
  <r>
    <s v="Universidad Nacional de TrujilloDoctorado en Gestión Pública"/>
    <s v="160000004-30-4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5. Ciencias Sociales"/>
    <s v="Doctorado en Gestión Pública"/>
    <m/>
    <m/>
    <m/>
    <m/>
    <m/>
    <m/>
    <m/>
    <m/>
    <m/>
    <m/>
    <m/>
    <m/>
    <m/>
    <m/>
    <m/>
    <m/>
    <m/>
    <m/>
    <m/>
    <m/>
    <n v="28"/>
    <n v="24"/>
    <n v="0.8571428571428571"/>
    <m/>
    <m/>
    <m/>
    <m/>
    <m/>
    <m/>
    <m/>
    <m/>
    <m/>
    <m/>
  </r>
  <r>
    <s v="Universidad Continental S.A.C.Doctorado en Gobierno y Administración Pública"/>
    <s v="26000067A-95-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5. Ciencias Sociales"/>
    <s v="Doctorado en Gobierno y Administración Pública"/>
    <m/>
    <m/>
    <m/>
    <m/>
    <m/>
    <m/>
    <m/>
    <m/>
    <m/>
    <m/>
    <m/>
    <m/>
    <m/>
    <m/>
    <m/>
    <m/>
    <m/>
    <m/>
    <m/>
    <m/>
    <n v="34"/>
    <m/>
    <n v="0"/>
    <m/>
    <m/>
    <m/>
    <m/>
    <m/>
    <m/>
    <m/>
    <m/>
    <m/>
    <m/>
  </r>
  <r>
    <s v="Universidad Nacional Federico VillarrealDoctorado en Humanidades"/>
    <s v="160000021-141-3"/>
    <n v="160000021"/>
    <s v="Universidad Nacional Federico Villarreal"/>
    <s v="UNFV"/>
    <s v="Universidad"/>
    <s v="Público"/>
    <s v="Pública"/>
    <s v="LICENCIADA"/>
    <s v="2020 - 2026"/>
    <n v="6"/>
    <s v="LIMA"/>
    <s v=" LIMA"/>
    <s v="LIMA"/>
    <s v="LIMA"/>
    <x v="3"/>
    <s v="6. Humanidades"/>
    <s v="Doctorado en Humanidades"/>
    <m/>
    <m/>
    <m/>
    <m/>
    <m/>
    <m/>
    <m/>
    <m/>
    <m/>
    <m/>
    <m/>
    <m/>
    <m/>
    <m/>
    <m/>
    <m/>
    <m/>
    <m/>
    <m/>
    <m/>
    <n v="14"/>
    <n v="14"/>
    <n v="1"/>
    <m/>
    <m/>
    <m/>
    <m/>
    <m/>
    <m/>
    <m/>
    <m/>
    <m/>
    <m/>
  </r>
  <r>
    <s v="Universidad Nacional Santiago Antúnez de MayoloDoctorado en Ingeniería Ambiental"/>
    <s v="160000033-17-5"/>
    <n v="160000033"/>
    <s v="Universidad Nacional Santiago Antúnez de Mayolo"/>
    <s v="UNASAM"/>
    <s v="Universidad"/>
    <s v="Público"/>
    <s v="Pública"/>
    <s v="LICENCIADA"/>
    <s v="2019 - 2025"/>
    <n v="6"/>
    <s v="INDEPENDENCIA"/>
    <s v=" HUARAZ"/>
    <s v="ÁNCASH"/>
    <s v="COSTA"/>
    <x v="3"/>
    <s v="2. Ingeniería y Tecnología"/>
    <s v="Doctorado en Ingeniería Ambiental"/>
    <m/>
    <m/>
    <m/>
    <m/>
    <m/>
    <m/>
    <m/>
    <m/>
    <m/>
    <m/>
    <m/>
    <m/>
    <m/>
    <m/>
    <m/>
    <m/>
    <m/>
    <m/>
    <m/>
    <m/>
    <n v="18"/>
    <n v="18"/>
    <n v="1"/>
    <m/>
    <m/>
    <m/>
    <m/>
    <m/>
    <m/>
    <m/>
    <m/>
    <m/>
    <m/>
  </r>
  <r>
    <m/>
    <s v="160000005-77-7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2. Ingeniería y Tecnología"/>
    <s v="Doctorado en Ingeniería de Proceso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Universidad Nacional de TrujilloDoctorado en Ingeniería Química Ambiental"/>
    <s v="160000004-32-5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2. Ingeniería y Tecnología"/>
    <s v="Doctorado en Ingeniería Química Ambiental"/>
    <m/>
    <m/>
    <m/>
    <m/>
    <m/>
    <m/>
    <m/>
    <m/>
    <m/>
    <m/>
    <m/>
    <m/>
    <m/>
    <m/>
    <m/>
    <m/>
    <m/>
    <m/>
    <m/>
    <m/>
    <n v="6"/>
    <n v="6"/>
    <n v="1"/>
    <m/>
    <m/>
    <m/>
    <m/>
    <m/>
    <m/>
    <m/>
    <m/>
    <m/>
    <m/>
  </r>
  <r>
    <s v="Universidad Nacional de TrujilloDoctorado en Medicina"/>
    <s v="160000004-34-9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3. Ciencias Médicas y de la Salud"/>
    <s v="Doctorado en Medicina"/>
    <m/>
    <m/>
    <m/>
    <m/>
    <m/>
    <m/>
    <m/>
    <m/>
    <m/>
    <m/>
    <m/>
    <m/>
    <m/>
    <m/>
    <m/>
    <m/>
    <m/>
    <m/>
    <m/>
    <m/>
    <n v="4"/>
    <n v="4"/>
    <n v="1"/>
    <m/>
    <m/>
    <m/>
    <m/>
    <m/>
    <m/>
    <m/>
    <m/>
    <m/>
    <m/>
  </r>
  <r>
    <s v="Universidad Nacional de TrujilloDoctorado en Microbiología"/>
    <s v="160000004-35-5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1. Ciencias Naturales"/>
    <s v="Doctorado en Microbiología"/>
    <m/>
    <m/>
    <m/>
    <m/>
    <m/>
    <m/>
    <m/>
    <m/>
    <m/>
    <m/>
    <m/>
    <m/>
    <m/>
    <m/>
    <m/>
    <m/>
    <m/>
    <m/>
    <m/>
    <m/>
    <n v="5"/>
    <n v="5"/>
    <n v="1"/>
    <m/>
    <m/>
    <m/>
    <m/>
    <m/>
    <m/>
    <m/>
    <m/>
    <m/>
    <m/>
  </r>
  <r>
    <s v="Universidad Nacional de TrujilloDoctorado en Planificación y Gestión"/>
    <s v="160000004-36-4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5. Ciencias Sociales"/>
    <s v="Doctorado en Planificación y Gestión"/>
    <m/>
    <m/>
    <m/>
    <m/>
    <m/>
    <m/>
    <m/>
    <m/>
    <m/>
    <m/>
    <m/>
    <m/>
    <m/>
    <m/>
    <m/>
    <m/>
    <m/>
    <m/>
    <m/>
    <m/>
    <n v="9"/>
    <n v="7"/>
    <n v="0.77777777777777779"/>
    <m/>
    <m/>
    <m/>
    <m/>
    <m/>
    <m/>
    <m/>
    <m/>
    <m/>
    <m/>
  </r>
  <r>
    <m/>
    <s v="26000067A-178-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5. Ciencias Sociales"/>
    <s v="Doctorado en Psicología"/>
    <m/>
    <m/>
    <m/>
    <m/>
    <m/>
    <m/>
    <m/>
    <m/>
    <m/>
    <m/>
    <m/>
    <m/>
    <s v="2025-1"/>
    <m/>
    <m/>
    <m/>
    <m/>
    <m/>
    <m/>
    <m/>
    <n v="29"/>
    <m/>
    <m/>
    <m/>
    <m/>
    <m/>
    <m/>
    <m/>
    <m/>
    <m/>
    <m/>
    <m/>
    <m/>
  </r>
  <r>
    <s v="Universidad Nacional de San Agustín de ArequipaDoctorado en Psicología"/>
    <s v="160000005-79-3"/>
    <n v="160000005"/>
    <s v="Universidad Nacional de San Agustín de Arequipa"/>
    <s v="UNSA"/>
    <s v="Universidad"/>
    <s v="Público"/>
    <s v="Pública"/>
    <s v="LICENCIADA"/>
    <s v="2018 - 2028"/>
    <n v="10"/>
    <s v="AREQUIPA"/>
    <s v=" AREQUIPA"/>
    <s v="AREQUIPA"/>
    <s v="COSTA"/>
    <x v="3"/>
    <s v="5. Ciencias Sociales"/>
    <s v="Doctorado en Psicología"/>
    <m/>
    <m/>
    <m/>
    <m/>
    <m/>
    <m/>
    <m/>
    <m/>
    <m/>
    <m/>
    <m/>
    <m/>
    <m/>
    <m/>
    <m/>
    <m/>
    <m/>
    <m/>
    <m/>
    <m/>
    <n v="16"/>
    <n v="15"/>
    <n v="0.9375"/>
    <m/>
    <m/>
    <m/>
    <m/>
    <m/>
    <m/>
    <m/>
    <m/>
    <m/>
    <m/>
  </r>
  <r>
    <s v="Universidad Nacional de TrujilloDoctorado en Salud Pública"/>
    <s v="160000004-37-0"/>
    <n v="160000004"/>
    <s v="Universidad Nacional de Trujillo"/>
    <s v="UNT"/>
    <s v="Universidad"/>
    <s v="Público"/>
    <s v="Pública"/>
    <s v="LICENCIADA"/>
    <s v="2018 - 2026"/>
    <n v="8"/>
    <s v="TRUJILLO"/>
    <s v=" TRUJILLO"/>
    <s v="LA LIBERTAD"/>
    <s v="COSTA"/>
    <x v="3"/>
    <s v="3. Ciencias Médicas y de la Salud"/>
    <s v="Doctorado en Salud Pública"/>
    <m/>
    <m/>
    <m/>
    <m/>
    <m/>
    <m/>
    <m/>
    <m/>
    <m/>
    <m/>
    <m/>
    <m/>
    <m/>
    <m/>
    <m/>
    <m/>
    <m/>
    <m/>
    <m/>
    <m/>
    <n v="14"/>
    <n v="14"/>
    <n v="1"/>
    <m/>
    <m/>
    <m/>
    <m/>
    <m/>
    <m/>
    <m/>
    <m/>
    <m/>
    <m/>
  </r>
  <r>
    <s v="Universidad Continental S.A.C.Doctorado en Salud Pública y Salud Global"/>
    <s v="26000067A-94-"/>
    <s v="26000067A"/>
    <s v="Universidad Continental S.A.C."/>
    <s v="UCONTINENTAL"/>
    <s v="Universidad"/>
    <s v="Privado"/>
    <s v="Societaria- Con fines de lucro"/>
    <s v="LICENCIADA"/>
    <s v="2018 - 2024"/>
    <n v="6"/>
    <s v="HUANCAYO"/>
    <s v=" HUANCAYO"/>
    <s v="JUNÍN"/>
    <s v="SIERRA"/>
    <x v="3"/>
    <s v="3. Ciencias Médicas y de la Salud"/>
    <s v="Doctorado en Salud Pública y Salud Global"/>
    <m/>
    <m/>
    <m/>
    <m/>
    <m/>
    <m/>
    <m/>
    <m/>
    <m/>
    <m/>
    <m/>
    <m/>
    <m/>
    <m/>
    <m/>
    <m/>
    <m/>
    <m/>
    <m/>
    <m/>
    <n v="93"/>
    <m/>
    <n v="0"/>
    <m/>
    <m/>
    <m/>
    <m/>
    <m/>
    <m/>
    <m/>
    <m/>
    <m/>
    <m/>
  </r>
  <r>
    <s v="Universidad Peruana UniónDoctorado en Educación con Mención en Gestión Educativa"/>
    <s v="260000038-235-1"/>
    <n v="260000038"/>
    <s v="Universidad Peruana Unión"/>
    <s v="UPeU"/>
    <s v="Universidad"/>
    <s v="Privado"/>
    <s v="Asociativa- Sin fines de lucro"/>
    <s v="LICENCIADA"/>
    <s v="2018 - 2024"/>
    <n v="6"/>
    <s v="LURIGANCHO"/>
    <s v=" LIMA"/>
    <s v="LIMA"/>
    <s v="LIMA"/>
    <x v="4"/>
    <s v="5. Ciencias Sociales"/>
    <s v="Doctorado en Educación con Mención en Gestión Educativa"/>
    <m/>
    <m/>
    <m/>
    <m/>
    <m/>
    <n v="1"/>
    <m/>
    <m/>
    <m/>
    <n v="21"/>
    <m/>
    <n v="50"/>
    <s v="2024-1"/>
    <n v="21"/>
    <n v="11"/>
    <n v="10"/>
    <n v="39.80952380952381"/>
    <n v="52"/>
    <n v="32"/>
    <n v="5.4737468668092966"/>
    <n v="29"/>
    <n v="20"/>
    <n v="0.68965517241379315"/>
    <n v="6"/>
    <n v="15"/>
    <n v="0.4"/>
    <m/>
    <m/>
    <m/>
    <m/>
    <m/>
    <m/>
    <m/>
  </r>
  <r>
    <s v="Universidad Privada Antenor OrregoDoctorado en Investigación Clínica y Traslacional"/>
    <s v="260000046-28-9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3. Ciencias Médicas y de la Salud"/>
    <s v="Doctorado en Investigación Clínica y Traslacional"/>
    <m/>
    <n v="33"/>
    <n v="32"/>
    <m/>
    <m/>
    <n v="18"/>
    <n v="11"/>
    <m/>
    <n v="13"/>
    <m/>
    <m/>
    <m/>
    <s v="2023-2"/>
    <n v="26"/>
    <n v="10"/>
    <n v="16"/>
    <n v="40"/>
    <n v="51"/>
    <n v="27"/>
    <n v="8.2267855204812541"/>
    <m/>
    <m/>
    <m/>
    <n v="0"/>
    <n v="26"/>
    <n v="0"/>
    <n v="1"/>
    <n v="0"/>
    <n v="0"/>
    <n v="7"/>
    <n v="0"/>
    <n v="0"/>
    <n v="0"/>
  </r>
  <r>
    <s v="Universidad Peruana UniónDoctorado en Educación con mención en Currículo y Docencia"/>
    <s v="260000038-12-1"/>
    <n v="260000038"/>
    <s v="Universidad Peruana Unión"/>
    <s v="UPeU"/>
    <s v="Universidad"/>
    <s v="Privado"/>
    <s v="Asociativa- Sin fines de lucro"/>
    <s v="LICENCIADA"/>
    <s v="2018 - 2024"/>
    <n v="6"/>
    <s v="LURIGANCHO"/>
    <s v=" LIMA"/>
    <s v="LIMA"/>
    <s v="LIMA"/>
    <x v="4"/>
    <s v="5. Ciencias Sociales"/>
    <s v="Doctorado en Educación con mención en Currículo y Docencia"/>
    <m/>
    <m/>
    <m/>
    <m/>
    <m/>
    <n v="1"/>
    <m/>
    <m/>
    <m/>
    <m/>
    <m/>
    <m/>
    <s v="2022-1"/>
    <n v="2"/>
    <n v="2"/>
    <n v="0"/>
    <n v="40"/>
    <n v="40"/>
    <n v="40"/>
    <n v="0"/>
    <n v="8"/>
    <n v="3"/>
    <n v="0.375"/>
    <n v="0"/>
    <n v="0"/>
    <m/>
    <m/>
    <m/>
    <m/>
    <m/>
    <m/>
    <m/>
    <m/>
  </r>
  <r>
    <s v="Universidad Peruana UniónDoctorado en Enfermería"/>
    <s v="260000038-13-9"/>
    <n v="260000038"/>
    <s v="Universidad Peruana Unión"/>
    <s v="UPeU"/>
    <s v="Universidad"/>
    <s v="Privado"/>
    <s v="Asociativa- Sin fines de lucro"/>
    <s v="LICENCIADA"/>
    <s v="2018 - 2024"/>
    <n v="6"/>
    <s v="LURIGANCHO"/>
    <s v=" LIMA"/>
    <s v="LIMA"/>
    <s v="LIMA"/>
    <x v="4"/>
    <s v="3. Ciencias Médicas y de la Salud"/>
    <s v="Doctorado en Enfermería"/>
    <m/>
    <m/>
    <m/>
    <m/>
    <m/>
    <m/>
    <m/>
    <m/>
    <m/>
    <m/>
    <m/>
    <n v="24"/>
    <s v="2025-1"/>
    <n v="48"/>
    <n v="44"/>
    <n v="4"/>
    <n v="41.130434782608695"/>
    <n v="70"/>
    <n v="27"/>
    <n v="12.786466275197514"/>
    <m/>
    <m/>
    <m/>
    <n v="20"/>
    <n v="24"/>
    <n v="0.83333333333333337"/>
    <m/>
    <m/>
    <m/>
    <m/>
    <m/>
    <m/>
    <m/>
  </r>
  <r>
    <s v="Universidad Nacional de HuancavelicaDoctorado en Ciencias Agropecuarias"/>
    <s v="160000051-53-8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4. Ciencias Agrícolas"/>
    <s v="Doctorado en Ciencias Agropecuarias"/>
    <m/>
    <n v="32"/>
    <m/>
    <m/>
    <n v="40"/>
    <m/>
    <m/>
    <m/>
    <m/>
    <m/>
    <m/>
    <m/>
    <s v="2021-2"/>
    <n v="80"/>
    <n v="16"/>
    <n v="64"/>
    <n v="41.15"/>
    <n v="66"/>
    <n v="28"/>
    <n v="9.7579568311705245"/>
    <n v="33"/>
    <n v="33"/>
    <n v="1"/>
    <n v="0"/>
    <n v="80"/>
    <n v="0"/>
    <m/>
    <m/>
    <m/>
    <m/>
    <m/>
    <m/>
    <m/>
  </r>
  <r>
    <s v="Universidad Privada Antenor OrregoDoctorado en Derecho"/>
    <s v="260000046-24-4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5. Ciencias Sociales"/>
    <s v="Doctorado en Derecho"/>
    <m/>
    <n v="43"/>
    <n v="43"/>
    <m/>
    <m/>
    <n v="49"/>
    <n v="47"/>
    <m/>
    <n v="47"/>
    <n v="14"/>
    <n v="42"/>
    <m/>
    <s v="2024-1"/>
    <n v="14"/>
    <n v="9"/>
    <n v="5"/>
    <n v="41.5"/>
    <n v="58"/>
    <n v="26"/>
    <n v="9.6854371252769127"/>
    <n v="31"/>
    <n v="31"/>
    <n v="1"/>
    <n v="0"/>
    <n v="14"/>
    <n v="0"/>
    <n v="0"/>
    <n v="15"/>
    <n v="0"/>
    <n v="14"/>
    <n v="0"/>
    <n v="0"/>
    <n v="0"/>
  </r>
  <r>
    <s v="Universidad Nacional de HuancavelicaDoctorado en Derecho y Ciencias Políticas"/>
    <s v="160000051-57-4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5. Ciencias Sociales"/>
    <s v="Doctorado en Derecho y Ciencias Políticas"/>
    <m/>
    <m/>
    <m/>
    <m/>
    <n v="74"/>
    <m/>
    <m/>
    <m/>
    <m/>
    <m/>
    <m/>
    <m/>
    <s v="2021-2"/>
    <n v="148"/>
    <n v="64"/>
    <n v="84"/>
    <n v="42.315068493150683"/>
    <n v="64"/>
    <n v="28"/>
    <n v="10.258556344395563"/>
    <n v="19"/>
    <n v="19"/>
    <n v="1"/>
    <n v="0"/>
    <n v="148"/>
    <n v="0"/>
    <m/>
    <m/>
    <m/>
    <m/>
    <m/>
    <m/>
    <m/>
  </r>
  <r>
    <s v="Universidad Nacional de HuancavelicaDoctorado en Ciencias Ambientales"/>
    <s v="160000051-54-5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1. Ciencias Naturales"/>
    <s v="Doctorado en Ciencias Ambientales"/>
    <m/>
    <n v="30"/>
    <m/>
    <m/>
    <n v="38"/>
    <m/>
    <m/>
    <m/>
    <m/>
    <m/>
    <m/>
    <m/>
    <s v="2021-2"/>
    <n v="76"/>
    <n v="12"/>
    <n v="64"/>
    <n v="42.342105263157897"/>
    <n v="67"/>
    <n v="26"/>
    <n v="10.367323835434673"/>
    <n v="27"/>
    <n v="27"/>
    <n v="1"/>
    <n v="2"/>
    <n v="74"/>
    <n v="2.7027027027027029E-2"/>
    <m/>
    <m/>
    <m/>
    <m/>
    <m/>
    <m/>
    <m/>
  </r>
  <r>
    <s v="Universidad Nacional de HuancavelicaDoctorado en Ciencias de la Salud"/>
    <s v="160000051-56-9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3. Ciencias Médicas y de la Salud"/>
    <s v="Doctorado en Ciencias de la Salud"/>
    <m/>
    <n v="62"/>
    <m/>
    <m/>
    <n v="91"/>
    <m/>
    <m/>
    <m/>
    <m/>
    <m/>
    <m/>
    <m/>
    <s v="2021-2"/>
    <n v="182"/>
    <n v="98"/>
    <n v="84"/>
    <n v="42.730337078651687"/>
    <n v="63"/>
    <n v="27"/>
    <n v="7.728096870618808"/>
    <n v="18"/>
    <n v="18"/>
    <n v="1"/>
    <n v="0"/>
    <n v="180"/>
    <n v="0"/>
    <m/>
    <m/>
    <m/>
    <m/>
    <m/>
    <m/>
    <m/>
  </r>
  <r>
    <s v="Universidad Peruana UniónDoctorado en Administración de Negocios"/>
    <s v="260000038-11-4"/>
    <n v="260000038"/>
    <s v="Universidad Peruana Unión"/>
    <s v="UPeU"/>
    <s v="Universidad"/>
    <s v="Privado"/>
    <s v="Asociativa- Sin fines de lucro"/>
    <s v="LICENCIADA"/>
    <s v="2018 - 2024"/>
    <n v="6"/>
    <s v="LURIGANCHO"/>
    <s v=" LIMA"/>
    <s v="LIMA"/>
    <s v="LIMA"/>
    <x v="4"/>
    <s v="5. Ciencias Sociales"/>
    <s v="Doctorado en Administración de Negocios"/>
    <m/>
    <m/>
    <m/>
    <m/>
    <m/>
    <m/>
    <m/>
    <m/>
    <m/>
    <n v="27"/>
    <m/>
    <n v="28"/>
    <s v="2024-1"/>
    <n v="27"/>
    <n v="7"/>
    <n v="20"/>
    <n v="42.851851851851855"/>
    <n v="56"/>
    <n v="32"/>
    <n v="7.3311962698074584"/>
    <n v="34"/>
    <n v="23"/>
    <n v="0.67647058823529416"/>
    <n v="1"/>
    <n v="25"/>
    <n v="0.04"/>
    <m/>
    <m/>
    <m/>
    <m/>
    <m/>
    <m/>
    <m/>
  </r>
  <r>
    <s v="Universidad Nacional de HuancavelicaDoctorado en Ciencias de la Educación"/>
    <s v="160000051-55-1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5. Ciencias Sociales"/>
    <s v="Doctorado en Ciencias de la Educación"/>
    <m/>
    <n v="86"/>
    <m/>
    <m/>
    <n v="106"/>
    <m/>
    <m/>
    <m/>
    <m/>
    <m/>
    <m/>
    <m/>
    <s v="2021-2"/>
    <n v="212"/>
    <n v="92"/>
    <n v="120"/>
    <n v="44.226415094339622"/>
    <n v="65"/>
    <n v="25"/>
    <n v="7.9647124811539021"/>
    <n v="40"/>
    <n v="40"/>
    <n v="1"/>
    <n v="2"/>
    <n v="210"/>
    <n v="9.5238095238095247E-3"/>
    <m/>
    <m/>
    <m/>
    <m/>
    <m/>
    <m/>
    <m/>
  </r>
  <r>
    <s v="Universidad Privada Antenor OrregoDoctorado en Administración"/>
    <s v="260000046-22-4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5. Ciencias Sociales"/>
    <s v="Doctorado en Administración"/>
    <m/>
    <n v="26"/>
    <n v="25"/>
    <m/>
    <m/>
    <n v="22"/>
    <n v="21"/>
    <m/>
    <n v="21"/>
    <n v="17"/>
    <n v="14"/>
    <m/>
    <s v="2024-1"/>
    <n v="17"/>
    <n v="8"/>
    <n v="9"/>
    <n v="44.529411764705884"/>
    <n v="67"/>
    <n v="28"/>
    <n v="11.70532809802242"/>
    <n v="18"/>
    <n v="18"/>
    <n v="1"/>
    <n v="0"/>
    <n v="17"/>
    <n v="0"/>
    <n v="0"/>
    <n v="0"/>
    <n v="0"/>
    <n v="8"/>
    <n v="0"/>
    <n v="0"/>
    <n v="0"/>
  </r>
  <r>
    <s v="Universidad Privada Antenor OrregoDoctorado en Educación"/>
    <s v="260000046-26-1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5. Ciencias Sociales"/>
    <s v="Doctorado en Educación"/>
    <m/>
    <m/>
    <m/>
    <m/>
    <m/>
    <n v="17"/>
    <n v="16"/>
    <m/>
    <n v="13"/>
    <n v="17"/>
    <n v="15"/>
    <m/>
    <s v="2024-1"/>
    <n v="17"/>
    <n v="12"/>
    <n v="5"/>
    <n v="44.647058823529413"/>
    <n v="65"/>
    <n v="28"/>
    <n v="10.82209069721851"/>
    <n v="17"/>
    <n v="17"/>
    <n v="1"/>
    <n v="0"/>
    <n v="17"/>
    <n v="0"/>
    <n v="0"/>
    <n v="0"/>
    <n v="0"/>
    <n v="7"/>
    <n v="0"/>
    <n v="0"/>
    <n v="0"/>
  </r>
  <r>
    <s v="Universidad Peruana UniónDoctorado en Salud Pública"/>
    <s v="260000038-15-0"/>
    <n v="260000038"/>
    <s v="Universidad Peruana Unión"/>
    <s v="UPeU"/>
    <s v="Universidad"/>
    <s v="Privado"/>
    <s v="Asociativa- Sin fines de lucro"/>
    <s v="LICENCIADA"/>
    <s v="2018 - 2024"/>
    <n v="6"/>
    <s v="LURIGANCHO"/>
    <s v=" LIMA"/>
    <s v="LIMA"/>
    <s v="LIMA"/>
    <x v="4"/>
    <s v="5. Ciencias Sociales"/>
    <s v="Doctorado en Salud Pública"/>
    <m/>
    <m/>
    <m/>
    <m/>
    <m/>
    <m/>
    <m/>
    <m/>
    <m/>
    <n v="13"/>
    <m/>
    <n v="24"/>
    <s v="2024-1"/>
    <n v="13"/>
    <n v="8"/>
    <n v="5"/>
    <n v="46.692307692307693"/>
    <n v="62"/>
    <n v="27"/>
    <n v="10.640994748178819"/>
    <n v="18"/>
    <n v="14"/>
    <n v="0.77777777777777779"/>
    <n v="3"/>
    <n v="10"/>
    <n v="0.3"/>
    <m/>
    <m/>
    <m/>
    <m/>
    <m/>
    <m/>
    <m/>
  </r>
  <r>
    <s v="Universidad Peruana UniónDoctorado en Teología"/>
    <s v="260000038-16-2"/>
    <n v="260000038"/>
    <s v="Universidad Peruana Unión"/>
    <s v="UPeU"/>
    <s v="Universidad"/>
    <s v="Privado"/>
    <s v="Asociativa- Sin fines de lucro"/>
    <s v="LICENCIADA"/>
    <s v="2018 - 2024"/>
    <n v="6"/>
    <s v="LURIGANCHO"/>
    <s v=" LIMA"/>
    <s v="LIMA"/>
    <s v="LIMA"/>
    <x v="4"/>
    <s v="6. Humanidades"/>
    <s v="Doctorado en Teología"/>
    <m/>
    <m/>
    <m/>
    <m/>
    <m/>
    <n v="1"/>
    <m/>
    <m/>
    <m/>
    <n v="8"/>
    <m/>
    <n v="8"/>
    <s v="2024-1"/>
    <n v="8"/>
    <n v="0"/>
    <n v="8"/>
    <n v="47.125"/>
    <n v="60"/>
    <n v="36"/>
    <n v="7.9000452078272492"/>
    <m/>
    <m/>
    <m/>
    <n v="1"/>
    <n v="7"/>
    <n v="0.14285714285714285"/>
    <m/>
    <m/>
    <m/>
    <m/>
    <m/>
    <m/>
    <m/>
  </r>
  <r>
    <s v="Universidad Nacional de Educación Enrique Guzmán y ValleDoctorado en Ciencias de la Educación"/>
    <s v="160000025-96-1"/>
    <n v="160000025"/>
    <s v="Universidad Nacional de Educación Enrique Guzmán y Valle"/>
    <s v="UNE"/>
    <s v="Universidad"/>
    <s v="Público"/>
    <s v="Pública"/>
    <s v="LICENCIADA"/>
    <s v="2019 - 2025"/>
    <n v="6"/>
    <s v="LURIGANCHO"/>
    <s v=" LIMA"/>
    <s v="LIMA"/>
    <s v="LIMA"/>
    <x v="4"/>
    <s v="5. Ciencias Sociales"/>
    <s v="Doctorado en Ciencias de la Educación"/>
    <m/>
    <n v="239"/>
    <n v="281"/>
    <n v="305"/>
    <n v="257"/>
    <n v="338"/>
    <n v="361"/>
    <n v="341"/>
    <n v="332"/>
    <n v="217"/>
    <n v="238"/>
    <m/>
    <s v="2024-1"/>
    <n v="217"/>
    <n v="97"/>
    <n v="120"/>
    <n v="47.231132075471699"/>
    <n v="69"/>
    <n v="31"/>
    <n v="8.2288575932829318"/>
    <n v="88"/>
    <n v="84"/>
    <n v="0.95454545454545459"/>
    <n v="0"/>
    <n v="216"/>
    <n v="0"/>
    <n v="25"/>
    <n v="1"/>
    <n v="0"/>
    <n v="0"/>
    <n v="0"/>
    <n v="0"/>
    <n v="0"/>
  </r>
  <r>
    <s v="Universidad Nacional de HuancavelicaDoctorado en Obstetricia"/>
    <s v="160000051-58-9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3. Ciencias Médicas y de la Salud"/>
    <s v="Doctorado en Obstetricia"/>
    <m/>
    <m/>
    <m/>
    <m/>
    <n v="23"/>
    <m/>
    <m/>
    <m/>
    <m/>
    <m/>
    <m/>
    <m/>
    <s v="2021-2"/>
    <n v="46"/>
    <n v="36"/>
    <n v="10"/>
    <n v="48.739130434782609"/>
    <n v="68"/>
    <n v="37"/>
    <n v="8.5646165708005242"/>
    <n v="36"/>
    <n v="36"/>
    <n v="1"/>
    <n v="0"/>
    <n v="46"/>
    <n v="0"/>
    <m/>
    <m/>
    <m/>
    <m/>
    <m/>
    <m/>
    <m/>
  </r>
  <r>
    <s v="Universidad Nacional de Educación Enrique Guzmán y ValleDoctorado en Educación Ambiental"/>
    <s v="160000025-97-1"/>
    <n v="160000025"/>
    <s v="Universidad Nacional de Educación Enrique Guzmán y Valle"/>
    <s v="UNE"/>
    <s v="Universidad"/>
    <s v="Público"/>
    <s v="Pública"/>
    <s v="LICENCIADA"/>
    <s v="2019 - 2025"/>
    <n v="6"/>
    <s v="LURIGANCHO"/>
    <s v=" LIMA"/>
    <s v="LIMA"/>
    <s v="LIMA"/>
    <x v="4"/>
    <s v="5. Ciencias Sociales"/>
    <s v="Doctorado en Educación Ambiental"/>
    <m/>
    <m/>
    <m/>
    <m/>
    <m/>
    <n v="10"/>
    <n v="25"/>
    <n v="23"/>
    <n v="23"/>
    <n v="23"/>
    <n v="22"/>
    <m/>
    <s v="2024-1"/>
    <n v="23"/>
    <n v="8"/>
    <n v="15"/>
    <n v="50.043478260869563"/>
    <n v="70"/>
    <n v="40"/>
    <n v="8.2982926002311626"/>
    <m/>
    <m/>
    <m/>
    <n v="0"/>
    <n v="23"/>
    <n v="0"/>
    <m/>
    <m/>
    <m/>
    <m/>
    <m/>
    <m/>
    <m/>
  </r>
  <r>
    <s v="Universidad Nacional de Educación Enrique Guzmán y ValleDoctorado en Psicología Educacional y Tutorial"/>
    <s v="160000025-98-3"/>
    <n v="160000025"/>
    <s v="Universidad Nacional de Educación Enrique Guzmán y Valle"/>
    <s v="UNE"/>
    <s v="Universidad"/>
    <s v="Público"/>
    <s v="Pública"/>
    <s v="LICENCIADA"/>
    <s v="2019 - 2025"/>
    <n v="6"/>
    <s v="LURIGANCHO"/>
    <s v=" LIMA"/>
    <s v="LIMA"/>
    <s v="LIMA"/>
    <x v="4"/>
    <s v="5. Ciencias Sociales"/>
    <s v="Doctorado en Psicología Educacional y Tutorial"/>
    <m/>
    <n v="1"/>
    <m/>
    <m/>
    <m/>
    <n v="13"/>
    <n v="10"/>
    <n v="12"/>
    <n v="19"/>
    <n v="20"/>
    <n v="28"/>
    <m/>
    <s v="2024-1"/>
    <n v="20"/>
    <n v="15"/>
    <n v="5"/>
    <n v="51.421052631578945"/>
    <n v="66"/>
    <n v="38"/>
    <n v="8.146681597597361"/>
    <n v="19"/>
    <n v="19"/>
    <n v="1"/>
    <n v="0"/>
    <n v="20"/>
    <n v="0"/>
    <m/>
    <m/>
    <m/>
    <m/>
    <m/>
    <m/>
    <m/>
  </r>
  <r>
    <s v="Universidad Nacional de HuancavelicaDoctorado en Administración"/>
    <s v="160000051-144-4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5. Ciencias Sociales"/>
    <s v="Doctorado en Administración"/>
    <m/>
    <m/>
    <m/>
    <m/>
    <m/>
    <m/>
    <m/>
    <m/>
    <m/>
    <m/>
    <m/>
    <m/>
    <m/>
    <m/>
    <m/>
    <m/>
    <m/>
    <m/>
    <m/>
    <m/>
    <n v="30"/>
    <n v="30"/>
    <n v="1"/>
    <m/>
    <m/>
    <m/>
    <m/>
    <m/>
    <m/>
    <m/>
    <m/>
    <m/>
    <m/>
  </r>
  <r>
    <m/>
    <s v="260000046-231-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2. Ingeniería y Tecnología"/>
    <s v="DOCTORADO EN ARQUITECTURA"/>
    <m/>
    <m/>
    <m/>
    <m/>
    <m/>
    <m/>
    <m/>
    <m/>
    <m/>
    <m/>
    <m/>
    <m/>
    <s v="2025-1"/>
    <m/>
    <m/>
    <m/>
    <m/>
    <m/>
    <m/>
    <m/>
    <n v="18"/>
    <n v="18"/>
    <n v="1"/>
    <m/>
    <m/>
    <m/>
    <m/>
    <m/>
    <m/>
    <m/>
    <m/>
    <m/>
    <m/>
  </r>
  <r>
    <s v="Universidad Nacional de PiuraDoctorado en Ciencias Administrativas con Mención en Dirección de Empresas"/>
    <s v="160000013-138-4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5. Ciencias Sociales"/>
    <s v="Doctorado en Ciencias Administrativas con Mención en Dirección de Empresas"/>
    <m/>
    <m/>
    <m/>
    <m/>
    <m/>
    <m/>
    <m/>
    <m/>
    <m/>
    <m/>
    <m/>
    <m/>
    <m/>
    <m/>
    <m/>
    <m/>
    <m/>
    <m/>
    <m/>
    <m/>
    <n v="13"/>
    <n v="12"/>
    <n v="0.92307692307692313"/>
    <m/>
    <m/>
    <m/>
    <m/>
    <m/>
    <m/>
    <m/>
    <m/>
    <m/>
    <m/>
  </r>
  <r>
    <s v="Universidad Nacional de PiuraDoctorado en Ciencias Agrarias"/>
    <s v="160000013-80-8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4. Ciencias Agrícolas"/>
    <s v="Doctorado en Ciencias Agrarias"/>
    <m/>
    <m/>
    <m/>
    <m/>
    <m/>
    <m/>
    <m/>
    <m/>
    <m/>
    <m/>
    <m/>
    <m/>
    <m/>
    <m/>
    <m/>
    <m/>
    <m/>
    <m/>
    <m/>
    <m/>
    <n v="6"/>
    <n v="6"/>
    <n v="1"/>
    <m/>
    <m/>
    <m/>
    <m/>
    <m/>
    <m/>
    <m/>
    <m/>
    <m/>
    <m/>
  </r>
  <r>
    <s v="Universidad Nacional de PiuraDoctorado en Ciencias Ambientales"/>
    <s v="160000013-81-5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1. Ciencias Naturales"/>
    <s v="Doctorado en Ciencias Ambientales"/>
    <m/>
    <m/>
    <m/>
    <m/>
    <m/>
    <m/>
    <m/>
    <m/>
    <m/>
    <m/>
    <m/>
    <m/>
    <m/>
    <m/>
    <m/>
    <m/>
    <m/>
    <m/>
    <m/>
    <m/>
    <n v="24"/>
    <n v="23"/>
    <n v="0.95833333333333337"/>
    <m/>
    <m/>
    <m/>
    <m/>
    <m/>
    <m/>
    <m/>
    <m/>
    <m/>
    <m/>
  </r>
  <r>
    <s v="Universidad Nacional de PiuraDoctorado en Ciencias de la Educación"/>
    <s v="160000013-82-1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5. Ciencias Sociales"/>
    <s v="Doctorado en Ciencias de la Educación"/>
    <m/>
    <m/>
    <m/>
    <m/>
    <m/>
    <m/>
    <m/>
    <m/>
    <m/>
    <m/>
    <m/>
    <m/>
    <m/>
    <m/>
    <m/>
    <m/>
    <m/>
    <m/>
    <m/>
    <m/>
    <n v="32"/>
    <n v="29"/>
    <n v="0.90625"/>
    <m/>
    <m/>
    <m/>
    <m/>
    <m/>
    <m/>
    <m/>
    <m/>
    <m/>
    <m/>
  </r>
  <r>
    <s v="Universidad Católica de Santa MaríaDoctorado en Ciencias de la Salud"/>
    <s v="260000015-37-9"/>
    <n v="260000015"/>
    <s v="Universidad Católica de Santa María"/>
    <s v="UCSM"/>
    <s v="Universidad"/>
    <s v="Privado"/>
    <s v="Asociativa- Sin fines de lucro"/>
    <s v="LICENCIADA"/>
    <s v="2018 - 2024"/>
    <n v="6"/>
    <s v="AREQUIPA"/>
    <s v=" AREQUIPA"/>
    <s v="AREQUIPA"/>
    <s v="COSTA"/>
    <x v="4"/>
    <s v="3. Ciencias Médicas y de la Salud"/>
    <s v="Doctorado en Ciencias de la Salud"/>
    <n v="2018"/>
    <m/>
    <m/>
    <m/>
    <m/>
    <m/>
    <m/>
    <m/>
    <m/>
    <m/>
    <m/>
    <m/>
    <m/>
    <m/>
    <m/>
    <m/>
    <m/>
    <m/>
    <m/>
    <m/>
    <n v="9"/>
    <n v="9"/>
    <n v="1"/>
    <m/>
    <m/>
    <m/>
    <n v="10"/>
    <n v="0"/>
    <n v="0"/>
    <n v="3"/>
    <n v="0"/>
    <n v="2"/>
    <n v="1"/>
  </r>
  <r>
    <s v="Universidad Nacional de PiuraDoctorado en Ciencias de la Salud"/>
    <s v="160000013-83-9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3. Ciencias Médicas y de la Salud"/>
    <s v="Doctorado en Ciencias de la Salud"/>
    <m/>
    <m/>
    <m/>
    <m/>
    <m/>
    <m/>
    <m/>
    <m/>
    <m/>
    <m/>
    <m/>
    <m/>
    <m/>
    <m/>
    <m/>
    <m/>
    <m/>
    <m/>
    <m/>
    <m/>
    <n v="26"/>
    <n v="23"/>
    <n v="0.88461538461538458"/>
    <m/>
    <m/>
    <m/>
    <m/>
    <m/>
    <m/>
    <m/>
    <m/>
    <m/>
    <m/>
  </r>
  <r>
    <m/>
    <s v="260000046-228-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2. Ingeniería y Tecnología"/>
    <s v="Doctorado en Ciencias e Ingeniería"/>
    <m/>
    <m/>
    <m/>
    <m/>
    <m/>
    <m/>
    <m/>
    <m/>
    <m/>
    <m/>
    <m/>
    <m/>
    <s v="2025-1"/>
    <m/>
    <m/>
    <m/>
    <m/>
    <m/>
    <m/>
    <m/>
    <n v="36"/>
    <n v="36"/>
    <n v="1"/>
    <m/>
    <m/>
    <m/>
    <m/>
    <m/>
    <m/>
    <m/>
    <m/>
    <m/>
    <m/>
  </r>
  <r>
    <s v="Universidad Nacional de PiuraDoctorado en Ciencias Económicas y Financieras"/>
    <s v="160000013-84-3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5. Ciencias Sociales"/>
    <s v="Doctorado en Ciencias Económicas y Financieras"/>
    <m/>
    <m/>
    <m/>
    <m/>
    <m/>
    <m/>
    <m/>
    <m/>
    <m/>
    <m/>
    <m/>
    <m/>
    <m/>
    <m/>
    <m/>
    <m/>
    <m/>
    <m/>
    <m/>
    <m/>
    <n v="4"/>
    <n v="2"/>
    <n v="0.5"/>
    <m/>
    <m/>
    <m/>
    <m/>
    <m/>
    <m/>
    <m/>
    <m/>
    <m/>
    <m/>
  </r>
  <r>
    <s v="Universidad Nacional de PiuraDoctorado en Ciencias Matemáticas"/>
    <s v="160000013-85-5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1. Ciencias Naturales"/>
    <s v="Doctorado en Ciencias Matemáticas"/>
    <m/>
    <m/>
    <m/>
    <m/>
    <m/>
    <m/>
    <m/>
    <m/>
    <m/>
    <m/>
    <m/>
    <m/>
    <m/>
    <m/>
    <m/>
    <m/>
    <m/>
    <m/>
    <m/>
    <m/>
    <n v="4"/>
    <n v="4"/>
    <n v="1"/>
    <m/>
    <m/>
    <m/>
    <m/>
    <m/>
    <m/>
    <m/>
    <m/>
    <m/>
    <m/>
  </r>
  <r>
    <s v="Universidad Nacional de HuancavelicaDoctorado en Contabilidad"/>
    <s v="160000051-145-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5. Ciencias Sociales"/>
    <s v="Doctorado en Contabilidad"/>
    <m/>
    <m/>
    <m/>
    <m/>
    <m/>
    <m/>
    <m/>
    <m/>
    <m/>
    <m/>
    <m/>
    <m/>
    <m/>
    <m/>
    <m/>
    <m/>
    <m/>
    <m/>
    <m/>
    <m/>
    <n v="18"/>
    <n v="18"/>
    <n v="1"/>
    <m/>
    <m/>
    <m/>
    <m/>
    <m/>
    <m/>
    <m/>
    <m/>
    <m/>
    <m/>
  </r>
  <r>
    <s v="Universidad Nacional de PiuraDoctorado en Contabilidad y Finanzas"/>
    <s v="160000013-86-4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5. Ciencias Sociales"/>
    <s v="Doctorado en Contabilidad y Finanzas"/>
    <m/>
    <m/>
    <m/>
    <m/>
    <m/>
    <m/>
    <m/>
    <m/>
    <m/>
    <m/>
    <m/>
    <m/>
    <m/>
    <m/>
    <m/>
    <m/>
    <m/>
    <m/>
    <m/>
    <m/>
    <n v="11"/>
    <n v="10"/>
    <n v="0.90909090909090906"/>
    <m/>
    <m/>
    <m/>
    <m/>
    <m/>
    <m/>
    <m/>
    <m/>
    <m/>
    <m/>
  </r>
  <r>
    <s v="Universidad Católica de Santa MaríaDoctorado en Derecho"/>
    <s v="260000015-39-4"/>
    <n v="260000015"/>
    <s v="Universidad Católica de Santa María"/>
    <s v="UCSM"/>
    <s v="Universidad"/>
    <s v="Privado"/>
    <s v="Asociativa- Sin fines de lucro"/>
    <s v="LICENCIADA"/>
    <s v="2018 - 2024"/>
    <n v="6"/>
    <s v="AREQUIPA"/>
    <s v=" AREQUIPA"/>
    <s v="AREQUIPA"/>
    <s v="COSTA"/>
    <x v="4"/>
    <s v="5. Ciencias Sociales"/>
    <s v="Doctorado en Derecho"/>
    <m/>
    <m/>
    <m/>
    <m/>
    <m/>
    <m/>
    <m/>
    <m/>
    <m/>
    <m/>
    <m/>
    <m/>
    <m/>
    <m/>
    <m/>
    <m/>
    <m/>
    <m/>
    <m/>
    <m/>
    <n v="6"/>
    <n v="6"/>
    <n v="1"/>
    <m/>
    <m/>
    <m/>
    <n v="6"/>
    <n v="1"/>
    <n v="2"/>
    <n v="1"/>
    <n v="0"/>
    <n v="2"/>
    <n v="2"/>
  </r>
  <r>
    <s v="Universidad Nacional de PiuraDoctorado en Derecho y Ciencias Políticas"/>
    <s v="160000013-87-4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5. Ciencias Sociales"/>
    <s v="Doctorado en Derecho y Ciencias Políticas"/>
    <m/>
    <m/>
    <m/>
    <m/>
    <m/>
    <m/>
    <m/>
    <m/>
    <m/>
    <m/>
    <m/>
    <m/>
    <m/>
    <m/>
    <m/>
    <m/>
    <m/>
    <m/>
    <m/>
    <m/>
    <n v="17"/>
    <n v="15"/>
    <n v="0.88235294117647056"/>
    <m/>
    <m/>
    <m/>
    <m/>
    <m/>
    <m/>
    <m/>
    <m/>
    <m/>
    <m/>
  </r>
  <r>
    <s v="Universidad Nacional de HuancavelicaDoctorado en Economía"/>
    <s v="160000051-147-"/>
    <n v="160000051"/>
    <s v="Universidad Nacional de Huancavelica"/>
    <s v="UNH"/>
    <s v="Universidad"/>
    <s v="Público"/>
    <s v="Pública"/>
    <s v="LICENCIADA"/>
    <s v="2019 - 2025"/>
    <n v="6"/>
    <s v="HUANCAVELICA"/>
    <s v=" HUANCAVELICA"/>
    <s v="HUANCAVELICA"/>
    <s v="SIERRA"/>
    <x v="4"/>
    <s v="5. Ciencias Sociales"/>
    <s v="Doctorado en Economía"/>
    <m/>
    <m/>
    <m/>
    <m/>
    <m/>
    <m/>
    <m/>
    <m/>
    <m/>
    <m/>
    <m/>
    <m/>
    <m/>
    <m/>
    <m/>
    <m/>
    <m/>
    <m/>
    <m/>
    <m/>
    <n v="22"/>
    <n v="22"/>
    <n v="1"/>
    <m/>
    <m/>
    <m/>
    <m/>
    <m/>
    <m/>
    <m/>
    <m/>
    <m/>
    <m/>
  </r>
  <r>
    <s v="Universidad Católica de Santa MaríaDoctorado en Economía y Negocios Internacionales"/>
    <s v="260000015-40-3"/>
    <n v="260000015"/>
    <s v="Universidad Católica de Santa María"/>
    <s v="UCSM"/>
    <s v="Universidad"/>
    <s v="Privado"/>
    <s v="Asociativa- Sin fines de lucro"/>
    <s v="LICENCIADA"/>
    <s v="2018 - 2024"/>
    <n v="6"/>
    <s v="AREQUIPA"/>
    <s v=" AREQUIPA"/>
    <s v="AREQUIPA"/>
    <s v="COSTA"/>
    <x v="4"/>
    <s v="5. Ciencias Sociales"/>
    <s v="Doctorado en Economía y Negocios Internacionales"/>
    <m/>
    <m/>
    <m/>
    <m/>
    <m/>
    <m/>
    <m/>
    <m/>
    <m/>
    <m/>
    <m/>
    <m/>
    <m/>
    <m/>
    <m/>
    <m/>
    <m/>
    <m/>
    <m/>
    <m/>
    <n v="13"/>
    <n v="13"/>
    <n v="1"/>
    <m/>
    <m/>
    <m/>
    <n v="0"/>
    <n v="0"/>
    <n v="10"/>
    <n v="0"/>
    <n v="0"/>
    <n v="0"/>
    <n v="0"/>
  </r>
  <r>
    <m/>
    <s v="260000046-27-9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3. Ciencias Médicas y de la Salud"/>
    <s v="Doctorado en Estomatología"/>
    <m/>
    <m/>
    <m/>
    <m/>
    <m/>
    <m/>
    <m/>
    <m/>
    <m/>
    <m/>
    <m/>
    <m/>
    <s v="2025-1"/>
    <m/>
    <m/>
    <m/>
    <m/>
    <m/>
    <m/>
    <m/>
    <n v="19"/>
    <n v="19"/>
    <n v="1"/>
    <m/>
    <m/>
    <m/>
    <m/>
    <m/>
    <m/>
    <m/>
    <m/>
    <m/>
    <m/>
  </r>
  <r>
    <s v="Universidad Nacional de PiuraDoctorado en Ingeniería de Sistemas"/>
    <s v="160000013-88-6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2. Ingeniería y Tecnología"/>
    <s v="Doctorado en Ingeniería de Sistemas"/>
    <m/>
    <m/>
    <m/>
    <m/>
    <m/>
    <m/>
    <m/>
    <m/>
    <m/>
    <m/>
    <m/>
    <m/>
    <m/>
    <m/>
    <m/>
    <m/>
    <m/>
    <m/>
    <m/>
    <m/>
    <n v="2"/>
    <m/>
    <n v="0"/>
    <m/>
    <m/>
    <m/>
    <m/>
    <m/>
    <m/>
    <m/>
    <m/>
    <m/>
    <m/>
  </r>
  <r>
    <s v="Universidad Nacional de PiuraDoctorado en Ingeniería Industrial"/>
    <s v="160000013-89-7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2. Ingeniería y Tecnología"/>
    <s v="Doctorado en Ingeniería Industrial"/>
    <m/>
    <m/>
    <m/>
    <m/>
    <m/>
    <m/>
    <m/>
    <m/>
    <m/>
    <m/>
    <m/>
    <m/>
    <m/>
    <m/>
    <m/>
    <m/>
    <m/>
    <m/>
    <m/>
    <m/>
    <n v="2"/>
    <m/>
    <n v="0"/>
    <m/>
    <m/>
    <m/>
    <m/>
    <m/>
    <m/>
    <m/>
    <m/>
    <m/>
    <m/>
  </r>
  <r>
    <s v="Universidad Católica de Santa MaríaDoctorado en Odontología"/>
    <s v="260000015-46-9"/>
    <n v="260000015"/>
    <s v="Universidad Católica de Santa María"/>
    <s v="UCSM"/>
    <s v="Universidad"/>
    <s v="Privado"/>
    <s v="Asociativa- Sin fines de lucro"/>
    <s v="LICENCIADA"/>
    <s v="2018 - 2024"/>
    <n v="6"/>
    <s v="AREQUIPA"/>
    <s v=" AREQUIPA"/>
    <s v="AREQUIPA"/>
    <s v="COSTA"/>
    <x v="4"/>
    <s v="3. Ciencias Médicas y de la Salud"/>
    <s v="Doctorado en Odontología"/>
    <m/>
    <m/>
    <m/>
    <m/>
    <m/>
    <m/>
    <m/>
    <m/>
    <m/>
    <m/>
    <m/>
    <m/>
    <m/>
    <m/>
    <m/>
    <m/>
    <m/>
    <m/>
    <m/>
    <m/>
    <n v="6"/>
    <n v="6"/>
    <n v="1"/>
    <m/>
    <m/>
    <m/>
    <m/>
    <m/>
    <m/>
    <m/>
    <m/>
    <m/>
    <m/>
  </r>
  <r>
    <s v="Universidad Nacional de PiuraDoctorado en Tecnologías de la Información y Comunicaciones"/>
    <s v="160000013-90-6"/>
    <n v="160000013"/>
    <s v="Universidad Nacional de Piura"/>
    <s v="UNP"/>
    <s v="Universidad"/>
    <s v="Público"/>
    <s v="Pública"/>
    <s v="LICENCIADA"/>
    <s v="2019 - 2025"/>
    <n v="6"/>
    <s v="CASTILLA"/>
    <s v=" PIURA"/>
    <s v="PIURA"/>
    <s v="COSTA"/>
    <x v="4"/>
    <s v="2. Ingeniería y Tecnología"/>
    <s v="Doctorado en Tecnologías de la Información y Comunicaciones"/>
    <m/>
    <m/>
    <m/>
    <m/>
    <m/>
    <m/>
    <m/>
    <m/>
    <m/>
    <m/>
    <m/>
    <m/>
    <m/>
    <m/>
    <m/>
    <m/>
    <m/>
    <m/>
    <m/>
    <m/>
    <n v="20"/>
    <n v="20"/>
    <n v="1"/>
    <m/>
    <m/>
    <m/>
    <m/>
    <m/>
    <m/>
    <m/>
    <m/>
    <m/>
    <m/>
  </r>
  <r>
    <m/>
    <s v="260000046-235-"/>
    <n v="260000046"/>
    <s v="Universidad Privada Antenor Orrego"/>
    <s v="UPAO"/>
    <s v="Universidad"/>
    <s v="Privado"/>
    <s v="Asociativa- Sin fines de lucro"/>
    <s v="LICENCIADA"/>
    <s v="2018 - 2024"/>
    <n v="6"/>
    <s v="TRUJILLO"/>
    <s v=" TRUJILLO"/>
    <s v="LA LIBERTAD"/>
    <s v="COSTA"/>
    <x v="4"/>
    <s v="3. Ciencias Médicas y de la Salud"/>
    <s v="Salud Pública e Investigación"/>
    <m/>
    <m/>
    <m/>
    <m/>
    <m/>
    <m/>
    <m/>
    <m/>
    <m/>
    <m/>
    <m/>
    <m/>
    <s v="2025-1"/>
    <m/>
    <m/>
    <m/>
    <m/>
    <m/>
    <m/>
    <m/>
    <n v="27"/>
    <n v="26"/>
    <n v="0.96296296296296291"/>
    <m/>
    <m/>
    <m/>
    <m/>
    <m/>
    <m/>
    <m/>
    <m/>
    <m/>
    <m/>
  </r>
  <r>
    <s v="Universidad Católica Los Ángeles de ChimboteDoctorado en Ciencias de la Educación"/>
    <s v="26000053A-43-1"/>
    <s v="26000053A"/>
    <s v="Universidad Católica Los Ángeles de Chimbote"/>
    <s v="ULADECH"/>
    <s v="Universidad"/>
    <s v="Privado"/>
    <s v="Asociativa- Sin fines de lucro"/>
    <s v="LICENCIADA"/>
    <s v="PERMANENTE"/>
    <m/>
    <s v="NUEVO CHIMBOTE"/>
    <s v=" SANTA"/>
    <s v="ÁNCASH"/>
    <s v="COSTA"/>
    <x v="5"/>
    <s v="5. Ciencias Sociales"/>
    <s v="Doctorado en Ciencias de la Educación"/>
    <m/>
    <m/>
    <m/>
    <m/>
    <n v="15"/>
    <m/>
    <m/>
    <m/>
    <m/>
    <m/>
    <m/>
    <m/>
    <m/>
    <n v="30"/>
    <n v="8"/>
    <n v="22"/>
    <n v="42.866666666666667"/>
    <n v="59"/>
    <n v="28"/>
    <n v="9.2316297859991732"/>
    <m/>
    <m/>
    <m/>
    <m/>
    <m/>
    <m/>
    <m/>
    <m/>
    <m/>
    <m/>
    <m/>
    <m/>
    <m/>
  </r>
  <r>
    <s v="Universidad Católica Los Ángeles de ChimboteDoctorado en Salud Pública"/>
    <s v="26000053A-45-0"/>
    <s v="26000053A"/>
    <s v="Universidad Católica Los Ángeles de Chimbote"/>
    <s v="ULADECH"/>
    <s v="Universidad"/>
    <s v="Privado"/>
    <s v="Asociativa- Sin fines de lucro"/>
    <s v="LICENCIADA"/>
    <s v="PERMANENTE"/>
    <m/>
    <s v="NUEVO CHIMBOTE"/>
    <s v=" SANTA"/>
    <s v="ÁNCASH"/>
    <s v="COSTA"/>
    <x v="5"/>
    <s v="5. Ciencias Sociales"/>
    <s v="Doctorado en Salud Pública"/>
    <m/>
    <n v="15"/>
    <m/>
    <m/>
    <n v="1"/>
    <m/>
    <m/>
    <m/>
    <m/>
    <m/>
    <m/>
    <m/>
    <s v="2020-1"/>
    <n v="30"/>
    <n v="26"/>
    <n v="4"/>
    <n v="48"/>
    <n v="48"/>
    <n v="48"/>
    <n v="0"/>
    <m/>
    <m/>
    <m/>
    <n v="0"/>
    <n v="30"/>
    <n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Hoja2" cacheId="4" applyNumberFormats="0" applyBorderFormats="0" applyFontFormats="0" applyPatternFormats="0" applyAlignmentFormats="0" applyWidthHeightFormats="0" dataCaption="" updatedVersion="8" compact="0" compactData="0">
  <location ref="A3:H10" firstHeaderRow="1" firstDataRow="2" firstDataCol="1"/>
  <pivotFields count="51">
    <pivotField name="concat" compact="0" outline="0" multipleItemSelectionAllowed="1" showAll="0"/>
    <pivotField name="CÓDIGO (INEI-SIU-G1)" compact="0" outline="0" multipleItemSelectionAllowed="1" showAll="0"/>
    <pivotField name="CODIGO_INEI" compact="0" outline="0" multipleItemSelectionAllowed="1" showAll="0"/>
    <pivotField name="NOMBRE_ENTIDAD" compact="0" outline="0" multipleItemSelectionAllowed="1" showAll="0"/>
    <pivotField name="SIGLA" compact="0" outline="0" multipleItemSelectionAllowed="1" showAll="0"/>
    <pivotField name="TIPO_ENTIDAD" compact="0" outline="0" multipleItemSelectionAllowed="1" showAll="0"/>
    <pivotField name="TIPO_GESTION" compact="0" outline="0" multipleItemSelectionAllowed="1" showAll="0"/>
    <pivotField name="TIPO_CONSTITUCION" compact="0" outline="0" multipleItemSelectionAllowed="1" showAll="0"/>
    <pivotField name="LICENCIA" compact="0" outline="0" multipleItemSelectionAllowed="1" showAll="0"/>
    <pivotField name="Vigencia del licenciamiento" compact="0" outline="0" multipleItemSelectionAllowed="1" showAll="0"/>
    <pivotField name="Vigencia" compact="0" outline="0" multipleItemSelectionAllowed="1" showAll="0"/>
    <pivotField name="Distrito" compact="0" outline="0" multipleItemSelectionAllowed="1" showAll="0"/>
    <pivotField name="Provincia" compact="0" outline="0" multipleItemSelectionAllowed="1" showAll="0"/>
    <pivotField name="Departamento" compact="0" outline="0" multipleItemSelectionAllowed="1" showAll="0"/>
    <pivotField name="Gran dominio" compact="0" outline="0" multipleItemSelectionAllowed="1" showAll="0"/>
    <pivotField name="DES_INV_IIISUNEDU" axis="axisRow" compact="0" outline="0" multipleItemSelectionAllowed="1" showAll="0" sortType="ascending">
      <items count="7">
        <item x="0"/>
        <item x="1"/>
        <item x="2"/>
        <item x="3"/>
        <item x="4"/>
        <item h="1" x="5"/>
        <item t="default"/>
      </items>
    </pivotField>
    <pivotField name="ÁREA OCDE" compact="0" outline="0" multipleItemSelectionAllowed="1" showAll="0"/>
    <pivotField name="NOMBRE_PROGRAMA" compact="0" outline="0" multipleItemSelectionAllowed="1" showAll="0"/>
    <pivotField name="Financiamiento PROCIENCIA" compact="0" outline="0" multipleItemSelectionAllowed="1" showAll="0"/>
    <pivotField name="mat_2020-1" compact="0" outline="0" multipleItemSelectionAllowed="1" showAll="0"/>
    <pivotField name="mat_2020-2" compact="0" outline="0" multipleItemSelectionAllowed="1" showAll="0"/>
    <pivotField name="mat_2021-1" compact="0" outline="0" multipleItemSelectionAllowed="1" showAll="0"/>
    <pivotField name="mat_2021-2" compact="0" outline="0" multipleItemSelectionAllowed="1" showAll="0"/>
    <pivotField name="mat_2022-1" compact="0" outline="0" multipleItemSelectionAllowed="1" showAll="0"/>
    <pivotField name="mat_2022-2" compact="0" outline="0" multipleItemSelectionAllowed="1" showAll="0"/>
    <pivotField name="mat_2023-1" compact="0" outline="0" multipleItemSelectionAllowed="1" showAll="0"/>
    <pivotField name="mat_2023-2" compact="0" outline="0" multipleItemSelectionAllowed="1" showAll="0"/>
    <pivotField name="mat_2024-1" compact="0" outline="0" multipleItemSelectionAllowed="1" showAll="0"/>
    <pivotField name="mat_2024-2" compact="0" outline="0" multipleItemSelectionAllowed="1" showAll="0"/>
    <pivotField name="mat_2025-1" compact="0" outline="0" multipleItemSelectionAllowed="1" showAll="0"/>
    <pivotField name="ORIGEN DATOS SUNEDU" compact="0" outline="0" multipleItemSelectionAllowed="1" showAll="0"/>
    <pivotField name="Mat-1" compact="0" numFmtId="1" outline="0" multipleItemSelectionAllowed="1" showAll="0"/>
    <pivotField name="Mat-1_mujer" compact="0" numFmtId="1" outline="0" multipleItemSelectionAllowed="1" showAll="0"/>
    <pivotField name="Mat-1_hombre" compact="0" numFmtId="1" outline="0" multipleItemSelectionAllowed="1" showAll="0"/>
    <pivotField name="Promedio de EDADmat-1" compact="0" numFmtId="2" outline="0" multipleItemSelectionAllowed="1" showAll="0"/>
    <pivotField name="Máx. de EDADmat-1" compact="0" numFmtId="2" outline="0" multipleItemSelectionAllowed="1" showAll="0"/>
    <pivotField name="Mín. de EDADmat-1" compact="0" numFmtId="2" outline="0" multipleItemSelectionAllowed="1" showAll="0"/>
    <pivotField name="Desvest de EDADmat-1" compact="0" numFmtId="2" outline="0" multipleItemSelectionAllowed="1" showAll="0"/>
    <pivotField name="postulantes" compact="0" outline="0" multipleItemSelectionAllowed="1" showAll="0"/>
    <pivotField name="ingresantes" compact="0" outline="0" multipleItemSelectionAllowed="1" showAll="0"/>
    <pivotField name="Tasa ingreso" compact="0" outline="0" multipleItemSelectionAllowed="1" showAll="0"/>
    <pivotField name="mat_ext" compact="0" numFmtId="1" outline="0" multipleItemSelectionAllowed="1" showAll="0"/>
    <pivotField name="mat_per" compact="0" numFmtId="1" outline="0" multipleItemSelectionAllowed="1" showAll="0"/>
    <pivotField name="Tasamatext" compact="0" numFmtId="2" outline="0" multipleItemSelectionAllowed="1" showAll="0"/>
    <pivotField name="egresados_2022-1" dataField="1" compact="0" outline="0" multipleItemSelectionAllowed="1" showAll="0"/>
    <pivotField name="egresados_2022-2" dataField="1" compact="0" outline="0" multipleItemSelectionAllowed="1" showAll="0"/>
    <pivotField name="egresados_2023-1" dataField="1" compact="0" outline="0" multipleItemSelectionAllowed="1" showAll="0"/>
    <pivotField name="egresados_2023-2" dataField="1" compact="0" outline="0" multipleItemSelectionAllowed="1" showAll="0"/>
    <pivotField name="egresados_2023-3" dataField="1" compact="0" outline="0" multipleItemSelectionAllowed="1" showAll="0"/>
    <pivotField name="egresados_2024-1" dataField="1" compact="0" outline="0" multipleItemSelectionAllowed="1" showAll="0"/>
    <pivotField name="egresados_2024-2" dataField="1" compact="0" outline="0" multipleItemSelectionAllowed="1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egresados_2022-1" fld="44" baseField="0"/>
    <dataField name="Suma de egresados_2022-2" fld="45" baseField="0"/>
    <dataField name="Suma de egresados_2023-1" fld="46" baseField="0"/>
    <dataField name="Suma de egresados_2023-2" fld="47" baseField="0"/>
    <dataField name="Suma de egresados_2023-3" fld="48" baseField="0"/>
    <dataField name="Suma de egresados_2024-1" fld="49" baseField="0"/>
    <dataField name="Suma de egresados_2024-2" fld="5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000"/>
  <sheetViews>
    <sheetView workbookViewId="0"/>
  </sheetViews>
  <sheetFormatPr baseColWidth="10" defaultColWidth="14.44140625" defaultRowHeight="15" customHeight="1" x14ac:dyDescent="0.3"/>
  <cols>
    <col min="1" max="1" width="19.44140625" customWidth="1"/>
    <col min="2" max="8" width="8.6640625" customWidth="1"/>
    <col min="9" max="26" width="10.6640625" customWidth="1"/>
  </cols>
  <sheetData>
    <row r="3" spans="1:8" ht="14.4" x14ac:dyDescent="0.3">
      <c r="A3" s="17"/>
      <c r="B3" s="18" t="s">
        <v>1198</v>
      </c>
      <c r="C3" s="19"/>
      <c r="D3" s="19"/>
      <c r="E3" s="19"/>
      <c r="F3" s="19"/>
      <c r="G3" s="19"/>
      <c r="H3" s="20"/>
    </row>
    <row r="4" spans="1:8" ht="14.4" x14ac:dyDescent="0.3">
      <c r="A4" s="18" t="s">
        <v>0</v>
      </c>
      <c r="B4" s="17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2" t="s">
        <v>7</v>
      </c>
    </row>
    <row r="5" spans="1:8" ht="14.4" x14ac:dyDescent="0.3">
      <c r="A5" s="17" t="s">
        <v>8</v>
      </c>
      <c r="B5" s="23">
        <v>83</v>
      </c>
      <c r="C5" s="24">
        <v>303</v>
      </c>
      <c r="D5" s="24">
        <v>85</v>
      </c>
      <c r="E5" s="24">
        <v>230</v>
      </c>
      <c r="F5" s="24">
        <v>0</v>
      </c>
      <c r="G5" s="24">
        <v>67</v>
      </c>
      <c r="H5" s="25">
        <v>210</v>
      </c>
    </row>
    <row r="6" spans="1:8" ht="14.4" x14ac:dyDescent="0.3">
      <c r="A6" s="26" t="s">
        <v>9</v>
      </c>
      <c r="B6" s="27">
        <v>591</v>
      </c>
      <c r="C6" s="28">
        <v>832</v>
      </c>
      <c r="D6" s="28">
        <v>793</v>
      </c>
      <c r="E6" s="28">
        <v>1188</v>
      </c>
      <c r="F6" s="28">
        <v>21</v>
      </c>
      <c r="G6" s="28">
        <v>407</v>
      </c>
      <c r="H6" s="29">
        <v>590</v>
      </c>
    </row>
    <row r="7" spans="1:8" ht="14.4" x14ac:dyDescent="0.3">
      <c r="A7" s="26" t="s">
        <v>10</v>
      </c>
      <c r="B7" s="27">
        <v>27</v>
      </c>
      <c r="C7" s="28">
        <v>26</v>
      </c>
      <c r="D7" s="28">
        <v>41</v>
      </c>
      <c r="E7" s="28">
        <v>39</v>
      </c>
      <c r="F7" s="28">
        <v>0</v>
      </c>
      <c r="G7" s="28">
        <v>65</v>
      </c>
      <c r="H7" s="29">
        <v>3</v>
      </c>
    </row>
    <row r="8" spans="1:8" ht="14.4" x14ac:dyDescent="0.3">
      <c r="A8" s="26" t="s">
        <v>11</v>
      </c>
      <c r="B8" s="27">
        <v>17</v>
      </c>
      <c r="C8" s="28">
        <v>70</v>
      </c>
      <c r="D8" s="28">
        <v>41</v>
      </c>
      <c r="E8" s="28">
        <v>26</v>
      </c>
      <c r="F8" s="28">
        <v>0</v>
      </c>
      <c r="G8" s="28">
        <v>74</v>
      </c>
      <c r="H8" s="29">
        <v>1</v>
      </c>
    </row>
    <row r="9" spans="1:8" ht="14.4" x14ac:dyDescent="0.3">
      <c r="A9" s="26" t="s">
        <v>12</v>
      </c>
      <c r="B9" s="27">
        <v>42</v>
      </c>
      <c r="C9" s="28">
        <v>17</v>
      </c>
      <c r="D9" s="28">
        <v>12</v>
      </c>
      <c r="E9" s="28">
        <v>40</v>
      </c>
      <c r="F9" s="28">
        <v>0</v>
      </c>
      <c r="G9" s="28">
        <v>4</v>
      </c>
      <c r="H9" s="29">
        <v>3</v>
      </c>
    </row>
    <row r="10" spans="1:8" ht="15" customHeight="1" x14ac:dyDescent="0.3">
      <c r="A10" s="30" t="s">
        <v>1199</v>
      </c>
      <c r="B10" s="31">
        <v>760</v>
      </c>
      <c r="C10" s="32">
        <v>1248</v>
      </c>
      <c r="D10" s="32">
        <v>972</v>
      </c>
      <c r="E10" s="32">
        <v>1523</v>
      </c>
      <c r="F10" s="32">
        <v>21</v>
      </c>
      <c r="G10" s="32">
        <v>617</v>
      </c>
      <c r="H10" s="33">
        <v>807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00"/>
  <sheetViews>
    <sheetView tabSelected="1" workbookViewId="0">
      <pane ySplit="1" topLeftCell="A333" activePane="bottomLeft" state="frozen"/>
      <selection pane="bottomLeft" activeCell="E2" sqref="E2:E360"/>
    </sheetView>
  </sheetViews>
  <sheetFormatPr baseColWidth="10" defaultColWidth="14.44140625" defaultRowHeight="15" customHeight="1" x14ac:dyDescent="0.3"/>
  <cols>
    <col min="1" max="1" width="6.33203125" customWidth="1"/>
    <col min="2" max="2" width="16.6640625" customWidth="1"/>
    <col min="3" max="3" width="10.88671875" customWidth="1"/>
    <col min="4" max="4" width="43.44140625" customWidth="1"/>
    <col min="5" max="5" width="10.44140625" customWidth="1"/>
    <col min="6" max="8" width="8.33203125" customWidth="1"/>
    <col min="9" max="9" width="21.5546875" customWidth="1"/>
    <col min="10" max="10" width="7.109375" customWidth="1"/>
    <col min="11" max="15" width="8.33203125" customWidth="1"/>
    <col min="16" max="16" width="17.44140625" customWidth="1"/>
    <col min="17" max="17" width="20.5546875" customWidth="1"/>
    <col min="18" max="18" width="46.6640625" customWidth="1"/>
    <col min="19" max="19" width="13.6640625" customWidth="1"/>
    <col min="20" max="31" width="8.33203125" customWidth="1"/>
    <col min="32" max="32" width="12.44140625" customWidth="1"/>
    <col min="33" max="34" width="10.88671875" hidden="1" customWidth="1"/>
    <col min="35" max="44" width="10.88671875" customWidth="1"/>
    <col min="45" max="52" width="10.6640625" customWidth="1"/>
  </cols>
  <sheetData>
    <row r="1" spans="1:52" ht="14.4" x14ac:dyDescent="0.3">
      <c r="A1" s="4" t="s">
        <v>13</v>
      </c>
      <c r="B1" s="4" t="s">
        <v>14</v>
      </c>
      <c r="C1" s="5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0</v>
      </c>
      <c r="Q1" s="6" t="s">
        <v>28</v>
      </c>
      <c r="R1" s="4" t="s">
        <v>29</v>
      </c>
      <c r="S1" s="7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37</v>
      </c>
      <c r="AA1" s="8" t="s">
        <v>38</v>
      </c>
      <c r="AB1" s="8" t="s">
        <v>39</v>
      </c>
      <c r="AC1" s="8" t="s">
        <v>40</v>
      </c>
      <c r="AD1" s="8" t="s">
        <v>41</v>
      </c>
      <c r="AE1" s="9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  <c r="AL1" s="10" t="s">
        <v>49</v>
      </c>
      <c r="AM1" s="10" t="s">
        <v>50</v>
      </c>
      <c r="AN1" s="10" t="s">
        <v>51</v>
      </c>
      <c r="AO1" s="10" t="s">
        <v>52</v>
      </c>
      <c r="AP1" s="10" t="s">
        <v>53</v>
      </c>
      <c r="AQ1" s="10" t="s">
        <v>54</v>
      </c>
      <c r="AR1" s="10" t="s">
        <v>55</v>
      </c>
      <c r="AS1" s="11" t="s">
        <v>56</v>
      </c>
      <c r="AT1" s="11" t="s">
        <v>57</v>
      </c>
      <c r="AU1" s="11" t="s">
        <v>58</v>
      </c>
      <c r="AV1" s="11" t="s">
        <v>59</v>
      </c>
      <c r="AW1" s="11" t="s">
        <v>60</v>
      </c>
      <c r="AX1" s="11" t="s">
        <v>61</v>
      </c>
      <c r="AY1" s="11" t="s">
        <v>62</v>
      </c>
    </row>
    <row r="2" spans="1:52" ht="14.4" x14ac:dyDescent="0.3">
      <c r="A2" s="1" t="s">
        <v>63</v>
      </c>
      <c r="B2" s="2" t="s">
        <v>64</v>
      </c>
      <c r="C2" s="2">
        <v>260000014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>
        <v>10</v>
      </c>
      <c r="L2" s="1" t="s">
        <v>72</v>
      </c>
      <c r="M2" s="1" t="s">
        <v>73</v>
      </c>
      <c r="N2" s="1" t="s">
        <v>74</v>
      </c>
      <c r="O2" s="1" t="s">
        <v>74</v>
      </c>
      <c r="P2" s="1" t="s">
        <v>8</v>
      </c>
      <c r="Q2" s="1" t="s">
        <v>75</v>
      </c>
      <c r="R2" s="1" t="s">
        <v>76</v>
      </c>
      <c r="S2" s="2">
        <v>2020</v>
      </c>
      <c r="AB2" s="1">
        <v>3</v>
      </c>
      <c r="AE2" s="1" t="s">
        <v>77</v>
      </c>
      <c r="AF2" s="12">
        <v>3</v>
      </c>
      <c r="AG2" s="12">
        <v>1</v>
      </c>
      <c r="AH2" s="12">
        <v>2</v>
      </c>
      <c r="AI2" s="13">
        <v>33</v>
      </c>
      <c r="AJ2" s="13">
        <v>36</v>
      </c>
      <c r="AK2" s="13">
        <v>30</v>
      </c>
      <c r="AL2" s="13">
        <v>3</v>
      </c>
      <c r="AM2" s="14"/>
      <c r="AN2" s="14"/>
      <c r="AO2" s="3"/>
      <c r="AP2" s="14">
        <v>0</v>
      </c>
      <c r="AQ2" s="14">
        <v>3</v>
      </c>
      <c r="AR2" s="3">
        <f t="shared" ref="AR2:AR99" si="0">AP2/AQ2</f>
        <v>0</v>
      </c>
      <c r="AS2" s="1">
        <v>0</v>
      </c>
      <c r="AT2" s="1">
        <v>0</v>
      </c>
      <c r="AU2" s="1">
        <v>0</v>
      </c>
      <c r="AV2" s="1">
        <v>5</v>
      </c>
      <c r="AW2" s="1">
        <v>0</v>
      </c>
      <c r="AX2" s="1">
        <v>1</v>
      </c>
      <c r="AY2" s="1">
        <v>0</v>
      </c>
      <c r="AZ2" s="1">
        <f t="shared" ref="AZ2:AZ256" si="1">SUM(AS2:AY2)</f>
        <v>6</v>
      </c>
    </row>
    <row r="3" spans="1:52" ht="14.4" x14ac:dyDescent="0.3">
      <c r="A3" s="1" t="s">
        <v>78</v>
      </c>
      <c r="B3" s="2" t="s">
        <v>79</v>
      </c>
      <c r="C3" s="2">
        <v>260000014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>
        <v>10</v>
      </c>
      <c r="L3" s="1" t="s">
        <v>72</v>
      </c>
      <c r="M3" s="1" t="s">
        <v>73</v>
      </c>
      <c r="N3" s="1" t="s">
        <v>74</v>
      </c>
      <c r="O3" s="1" t="s">
        <v>74</v>
      </c>
      <c r="P3" s="1" t="s">
        <v>8</v>
      </c>
      <c r="Q3" s="1" t="s">
        <v>80</v>
      </c>
      <c r="R3" s="1" t="s">
        <v>81</v>
      </c>
      <c r="S3" s="2">
        <v>2015</v>
      </c>
      <c r="U3" s="1">
        <v>9</v>
      </c>
      <c r="V3" s="1">
        <v>11</v>
      </c>
      <c r="Z3" s="1">
        <v>11</v>
      </c>
      <c r="AB3" s="1">
        <v>14</v>
      </c>
      <c r="AE3" s="1" t="s">
        <v>77</v>
      </c>
      <c r="AF3" s="12">
        <v>14</v>
      </c>
      <c r="AG3" s="12">
        <v>7</v>
      </c>
      <c r="AH3" s="12">
        <v>7</v>
      </c>
      <c r="AI3" s="13">
        <v>34.153846153846153</v>
      </c>
      <c r="AJ3" s="13">
        <v>53</v>
      </c>
      <c r="AK3" s="13">
        <v>28</v>
      </c>
      <c r="AL3" s="13">
        <v>7.7550645155940332</v>
      </c>
      <c r="AM3" s="14">
        <v>12</v>
      </c>
      <c r="AN3" s="14">
        <v>12</v>
      </c>
      <c r="AO3" s="3">
        <f t="shared" ref="AO3:AO4" si="2">AN3/AM3</f>
        <v>1</v>
      </c>
      <c r="AP3" s="14">
        <v>5</v>
      </c>
      <c r="AQ3" s="14">
        <v>8</v>
      </c>
      <c r="AR3" s="3">
        <f t="shared" si="0"/>
        <v>0.625</v>
      </c>
      <c r="AS3" s="1">
        <v>0</v>
      </c>
      <c r="AT3" s="1">
        <v>5</v>
      </c>
      <c r="AU3" s="1">
        <v>4</v>
      </c>
      <c r="AV3" s="1">
        <v>0</v>
      </c>
      <c r="AW3" s="1">
        <v>0</v>
      </c>
      <c r="AX3" s="1">
        <v>0</v>
      </c>
      <c r="AY3" s="1">
        <v>0</v>
      </c>
      <c r="AZ3" s="1">
        <f t="shared" si="1"/>
        <v>9</v>
      </c>
    </row>
    <row r="4" spans="1:52" ht="14.4" x14ac:dyDescent="0.3">
      <c r="A4" s="1" t="s">
        <v>82</v>
      </c>
      <c r="B4" s="2" t="s">
        <v>83</v>
      </c>
      <c r="C4" s="2">
        <v>160000006</v>
      </c>
      <c r="D4" s="1" t="s">
        <v>84</v>
      </c>
      <c r="E4" s="1" t="s">
        <v>85</v>
      </c>
      <c r="F4" s="1" t="s">
        <v>67</v>
      </c>
      <c r="G4" s="1" t="s">
        <v>86</v>
      </c>
      <c r="H4" s="1" t="s">
        <v>87</v>
      </c>
      <c r="I4" s="1" t="s">
        <v>70</v>
      </c>
      <c r="J4" s="1" t="s">
        <v>88</v>
      </c>
      <c r="K4" s="1">
        <v>10</v>
      </c>
      <c r="L4" s="1" t="s">
        <v>89</v>
      </c>
      <c r="M4" s="1" t="s">
        <v>73</v>
      </c>
      <c r="N4" s="1" t="s">
        <v>74</v>
      </c>
      <c r="O4" s="1" t="s">
        <v>74</v>
      </c>
      <c r="P4" s="1" t="s">
        <v>8</v>
      </c>
      <c r="Q4" s="1" t="s">
        <v>90</v>
      </c>
      <c r="R4" s="1" t="s">
        <v>91</v>
      </c>
      <c r="S4" s="2" t="s">
        <v>92</v>
      </c>
      <c r="AC4" s="1">
        <v>14</v>
      </c>
      <c r="AE4" s="1" t="s">
        <v>93</v>
      </c>
      <c r="AF4" s="15">
        <v>28</v>
      </c>
      <c r="AG4" s="15">
        <v>12</v>
      </c>
      <c r="AH4" s="15">
        <v>16</v>
      </c>
      <c r="AI4" s="13">
        <v>35.214285714285715</v>
      </c>
      <c r="AJ4" s="13">
        <v>54</v>
      </c>
      <c r="AK4" s="13">
        <v>54</v>
      </c>
      <c r="AL4" s="13">
        <v>28</v>
      </c>
      <c r="AM4" s="14">
        <v>39</v>
      </c>
      <c r="AN4" s="14">
        <v>39</v>
      </c>
      <c r="AO4" s="3">
        <f t="shared" si="2"/>
        <v>1</v>
      </c>
      <c r="AP4" s="14">
        <v>0</v>
      </c>
      <c r="AQ4" s="14">
        <v>28</v>
      </c>
      <c r="AR4" s="3">
        <f t="shared" si="0"/>
        <v>0</v>
      </c>
      <c r="AZ4" s="1">
        <f t="shared" si="1"/>
        <v>0</v>
      </c>
    </row>
    <row r="5" spans="1:52" ht="14.4" x14ac:dyDescent="0.3">
      <c r="A5" s="1" t="s">
        <v>94</v>
      </c>
      <c r="B5" s="2" t="s">
        <v>95</v>
      </c>
      <c r="C5" s="2">
        <v>260000019</v>
      </c>
      <c r="D5" s="1" t="s">
        <v>96</v>
      </c>
      <c r="E5" s="1" t="s">
        <v>97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98</v>
      </c>
      <c r="K5" s="1">
        <v>6</v>
      </c>
      <c r="L5" s="1" t="s">
        <v>99</v>
      </c>
      <c r="M5" s="1" t="s">
        <v>73</v>
      </c>
      <c r="N5" s="1" t="s">
        <v>74</v>
      </c>
      <c r="O5" s="1" t="s">
        <v>74</v>
      </c>
      <c r="P5" s="1" t="s">
        <v>8</v>
      </c>
      <c r="Q5" s="1" t="s">
        <v>80</v>
      </c>
      <c r="R5" s="1" t="s">
        <v>100</v>
      </c>
      <c r="S5" s="2"/>
      <c r="U5" s="1">
        <v>20</v>
      </c>
      <c r="Z5" s="1">
        <v>11</v>
      </c>
      <c r="AA5" s="1">
        <v>4</v>
      </c>
      <c r="AB5" s="1">
        <v>4</v>
      </c>
      <c r="AE5" s="1" t="s">
        <v>77</v>
      </c>
      <c r="AF5" s="12">
        <v>4</v>
      </c>
      <c r="AG5" s="12">
        <v>0</v>
      </c>
      <c r="AH5" s="12">
        <v>4</v>
      </c>
      <c r="AI5" s="13">
        <v>35.333333333333336</v>
      </c>
      <c r="AJ5" s="13">
        <v>38</v>
      </c>
      <c r="AK5" s="13">
        <v>33</v>
      </c>
      <c r="AL5" s="13">
        <v>2.516611478423568</v>
      </c>
      <c r="AM5" s="14"/>
      <c r="AN5" s="14"/>
      <c r="AO5" s="3"/>
      <c r="AP5" s="14">
        <v>0</v>
      </c>
      <c r="AQ5" s="14">
        <v>4</v>
      </c>
      <c r="AR5" s="3">
        <f t="shared" si="0"/>
        <v>0</v>
      </c>
      <c r="AZ5" s="1">
        <f t="shared" si="1"/>
        <v>0</v>
      </c>
    </row>
    <row r="6" spans="1:52" ht="14.4" x14ac:dyDescent="0.3">
      <c r="A6" s="1" t="s">
        <v>101</v>
      </c>
      <c r="B6" s="2" t="s">
        <v>102</v>
      </c>
      <c r="C6" s="2">
        <v>160000003</v>
      </c>
      <c r="D6" s="1" t="s">
        <v>103</v>
      </c>
      <c r="E6" s="1" t="s">
        <v>104</v>
      </c>
      <c r="F6" s="1" t="s">
        <v>67</v>
      </c>
      <c r="G6" s="1" t="s">
        <v>86</v>
      </c>
      <c r="H6" s="1" t="s">
        <v>87</v>
      </c>
      <c r="I6" s="1" t="s">
        <v>70</v>
      </c>
      <c r="J6" s="1" t="s">
        <v>105</v>
      </c>
      <c r="K6" s="1">
        <v>8</v>
      </c>
      <c r="L6" s="1" t="s">
        <v>106</v>
      </c>
      <c r="M6" s="1" t="s">
        <v>107</v>
      </c>
      <c r="N6" s="1" t="s">
        <v>106</v>
      </c>
      <c r="O6" s="1" t="s">
        <v>108</v>
      </c>
      <c r="P6" s="1" t="s">
        <v>8</v>
      </c>
      <c r="Q6" s="1" t="s">
        <v>80</v>
      </c>
      <c r="R6" s="1" t="s">
        <v>109</v>
      </c>
      <c r="S6" s="2"/>
      <c r="T6" s="1">
        <v>34</v>
      </c>
      <c r="AE6" s="1" t="s">
        <v>110</v>
      </c>
      <c r="AF6" s="12">
        <v>68</v>
      </c>
      <c r="AG6" s="12">
        <v>34</v>
      </c>
      <c r="AH6" s="12">
        <v>34</v>
      </c>
      <c r="AI6" s="12">
        <v>35.647058823529413</v>
      </c>
      <c r="AJ6" s="12">
        <v>55</v>
      </c>
      <c r="AK6" s="12">
        <v>25</v>
      </c>
      <c r="AL6" s="12">
        <v>8.4848674883580539</v>
      </c>
      <c r="AM6" s="14"/>
      <c r="AN6" s="14"/>
      <c r="AO6" s="3"/>
      <c r="AP6" s="14">
        <v>0</v>
      </c>
      <c r="AQ6" s="14">
        <v>68</v>
      </c>
      <c r="AR6" s="3">
        <f t="shared" si="0"/>
        <v>0</v>
      </c>
      <c r="AZ6" s="1">
        <f t="shared" si="1"/>
        <v>0</v>
      </c>
    </row>
    <row r="7" spans="1:52" ht="14.4" x14ac:dyDescent="0.3">
      <c r="A7" s="1" t="s">
        <v>111</v>
      </c>
      <c r="B7" s="2" t="s">
        <v>112</v>
      </c>
      <c r="C7" s="2">
        <v>260000008</v>
      </c>
      <c r="D7" s="1" t="s">
        <v>113</v>
      </c>
      <c r="E7" s="1" t="s">
        <v>114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>
        <v>10</v>
      </c>
      <c r="L7" s="1" t="s">
        <v>115</v>
      </c>
      <c r="M7" s="1" t="s">
        <v>73</v>
      </c>
      <c r="N7" s="1" t="s">
        <v>74</v>
      </c>
      <c r="O7" s="1" t="s">
        <v>74</v>
      </c>
      <c r="P7" s="1" t="s">
        <v>8</v>
      </c>
      <c r="Q7" s="1" t="s">
        <v>90</v>
      </c>
      <c r="R7" s="1" t="s">
        <v>116</v>
      </c>
      <c r="S7" s="2">
        <v>2015</v>
      </c>
      <c r="X7" s="1">
        <v>20</v>
      </c>
      <c r="Y7" s="1">
        <v>9</v>
      </c>
      <c r="Z7" s="1">
        <v>13</v>
      </c>
      <c r="AA7" s="1">
        <v>15</v>
      </c>
      <c r="AB7" s="1">
        <v>8</v>
      </c>
      <c r="AC7" s="1">
        <v>7</v>
      </c>
      <c r="AD7" s="1">
        <v>9</v>
      </c>
      <c r="AE7" s="1" t="s">
        <v>77</v>
      </c>
      <c r="AF7" s="12">
        <v>8</v>
      </c>
      <c r="AG7" s="12">
        <v>1</v>
      </c>
      <c r="AH7" s="12">
        <v>7</v>
      </c>
      <c r="AI7" s="13">
        <v>36</v>
      </c>
      <c r="AJ7" s="13">
        <v>57</v>
      </c>
      <c r="AK7" s="13">
        <v>26</v>
      </c>
      <c r="AL7" s="13">
        <v>9.5018795133233667</v>
      </c>
      <c r="AM7" s="14">
        <v>3</v>
      </c>
      <c r="AN7" s="14">
        <v>2</v>
      </c>
      <c r="AO7" s="3">
        <f t="shared" ref="AO7:AO10" si="3">AN7/AM7</f>
        <v>0.66666666666666663</v>
      </c>
      <c r="AP7" s="14">
        <v>0</v>
      </c>
      <c r="AQ7" s="14">
        <v>8</v>
      </c>
      <c r="AR7" s="3">
        <f t="shared" si="0"/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f t="shared" si="1"/>
        <v>1</v>
      </c>
    </row>
    <row r="8" spans="1:52" ht="14.4" x14ac:dyDescent="0.3">
      <c r="A8" s="1" t="s">
        <v>117</v>
      </c>
      <c r="B8" s="2" t="s">
        <v>118</v>
      </c>
      <c r="C8" s="2">
        <v>160000006</v>
      </c>
      <c r="D8" s="1" t="s">
        <v>84</v>
      </c>
      <c r="E8" s="1" t="s">
        <v>85</v>
      </c>
      <c r="F8" s="1" t="s">
        <v>67</v>
      </c>
      <c r="G8" s="1" t="s">
        <v>86</v>
      </c>
      <c r="H8" s="1" t="s">
        <v>87</v>
      </c>
      <c r="I8" s="1" t="s">
        <v>70</v>
      </c>
      <c r="J8" s="1" t="s">
        <v>88</v>
      </c>
      <c r="K8" s="1">
        <v>10</v>
      </c>
      <c r="L8" s="1" t="s">
        <v>89</v>
      </c>
      <c r="M8" s="1" t="s">
        <v>73</v>
      </c>
      <c r="N8" s="1" t="s">
        <v>74</v>
      </c>
      <c r="O8" s="1" t="s">
        <v>74</v>
      </c>
      <c r="P8" s="1" t="s">
        <v>8</v>
      </c>
      <c r="Q8" s="1" t="s">
        <v>90</v>
      </c>
      <c r="R8" s="1" t="s">
        <v>119</v>
      </c>
      <c r="S8" s="2" t="s">
        <v>120</v>
      </c>
      <c r="AC8" s="1">
        <v>15</v>
      </c>
      <c r="AE8" s="1" t="s">
        <v>93</v>
      </c>
      <c r="AF8" s="15">
        <v>30</v>
      </c>
      <c r="AG8" s="15">
        <v>10</v>
      </c>
      <c r="AH8" s="15">
        <v>20</v>
      </c>
      <c r="AI8" s="13">
        <v>36.666666666666664</v>
      </c>
      <c r="AJ8" s="13">
        <v>63</v>
      </c>
      <c r="AK8" s="13">
        <v>63</v>
      </c>
      <c r="AL8" s="13">
        <v>31</v>
      </c>
      <c r="AM8" s="14">
        <v>17</v>
      </c>
      <c r="AN8" s="14">
        <v>17</v>
      </c>
      <c r="AO8" s="3">
        <f t="shared" si="3"/>
        <v>1</v>
      </c>
      <c r="AP8" s="14">
        <v>0</v>
      </c>
      <c r="AQ8" s="14">
        <v>30</v>
      </c>
      <c r="AR8" s="3">
        <f t="shared" si="0"/>
        <v>0</v>
      </c>
      <c r="AZ8" s="1">
        <f t="shared" si="1"/>
        <v>0</v>
      </c>
    </row>
    <row r="9" spans="1:52" ht="14.4" x14ac:dyDescent="0.3">
      <c r="A9" s="1" t="s">
        <v>121</v>
      </c>
      <c r="B9" s="2" t="s">
        <v>122</v>
      </c>
      <c r="C9" s="2">
        <v>160000001</v>
      </c>
      <c r="D9" s="1" t="s">
        <v>123</v>
      </c>
      <c r="E9" s="1" t="s">
        <v>124</v>
      </c>
      <c r="F9" s="1" t="s">
        <v>67</v>
      </c>
      <c r="G9" s="1" t="s">
        <v>86</v>
      </c>
      <c r="H9" s="1" t="s">
        <v>87</v>
      </c>
      <c r="I9" s="1" t="s">
        <v>70</v>
      </c>
      <c r="J9" s="1" t="s">
        <v>125</v>
      </c>
      <c r="K9" s="1">
        <v>10</v>
      </c>
      <c r="L9" s="1" t="s">
        <v>74</v>
      </c>
      <c r="M9" s="1" t="s">
        <v>73</v>
      </c>
      <c r="N9" s="1" t="s">
        <v>74</v>
      </c>
      <c r="O9" s="1" t="s">
        <v>74</v>
      </c>
      <c r="P9" s="1" t="s">
        <v>8</v>
      </c>
      <c r="Q9" s="1" t="s">
        <v>90</v>
      </c>
      <c r="R9" s="1" t="s">
        <v>126</v>
      </c>
      <c r="S9" s="2">
        <v>2023</v>
      </c>
      <c r="T9" s="1">
        <v>20</v>
      </c>
      <c r="U9" s="1">
        <v>18</v>
      </c>
      <c r="V9" s="1">
        <v>21</v>
      </c>
      <c r="W9" s="1">
        <v>14</v>
      </c>
      <c r="Y9" s="1">
        <v>15</v>
      </c>
      <c r="Z9" s="1">
        <v>11</v>
      </c>
      <c r="AC9" s="1">
        <v>12</v>
      </c>
      <c r="AD9" s="1">
        <v>27</v>
      </c>
      <c r="AE9" s="1" t="s">
        <v>93</v>
      </c>
      <c r="AF9" s="15">
        <v>24</v>
      </c>
      <c r="AG9" s="15">
        <v>10</v>
      </c>
      <c r="AH9" s="15">
        <v>14</v>
      </c>
      <c r="AI9" s="13">
        <v>37.25</v>
      </c>
      <c r="AJ9" s="13">
        <v>56</v>
      </c>
      <c r="AK9" s="13">
        <v>56</v>
      </c>
      <c r="AL9" s="13">
        <v>28</v>
      </c>
      <c r="AM9" s="14">
        <v>51</v>
      </c>
      <c r="AN9" s="14">
        <v>51</v>
      </c>
      <c r="AO9" s="3">
        <f t="shared" si="3"/>
        <v>1</v>
      </c>
      <c r="AP9" s="14">
        <v>0</v>
      </c>
      <c r="AQ9" s="14">
        <v>24</v>
      </c>
      <c r="AR9" s="3">
        <f t="shared" si="0"/>
        <v>0</v>
      </c>
      <c r="AS9" s="1">
        <v>1</v>
      </c>
      <c r="AT9" s="1">
        <v>5</v>
      </c>
      <c r="AU9" s="1">
        <v>0</v>
      </c>
      <c r="AV9" s="1">
        <v>3</v>
      </c>
      <c r="AW9" s="1">
        <v>0</v>
      </c>
      <c r="AX9" s="1">
        <v>0</v>
      </c>
      <c r="AY9" s="1">
        <v>4</v>
      </c>
      <c r="AZ9" s="1">
        <f t="shared" si="1"/>
        <v>13</v>
      </c>
    </row>
    <row r="10" spans="1:52" ht="14.4" x14ac:dyDescent="0.3">
      <c r="A10" s="1" t="s">
        <v>127</v>
      </c>
      <c r="B10" s="2" t="s">
        <v>128</v>
      </c>
      <c r="C10" s="2">
        <v>160000007</v>
      </c>
      <c r="D10" s="1" t="s">
        <v>129</v>
      </c>
      <c r="E10" s="1" t="s">
        <v>130</v>
      </c>
      <c r="F10" s="1" t="s">
        <v>67</v>
      </c>
      <c r="G10" s="1" t="s">
        <v>86</v>
      </c>
      <c r="H10" s="1" t="s">
        <v>87</v>
      </c>
      <c r="I10" s="1" t="s">
        <v>70</v>
      </c>
      <c r="J10" s="1" t="s">
        <v>131</v>
      </c>
      <c r="K10" s="1">
        <v>8</v>
      </c>
      <c r="L10" s="1" t="s">
        <v>132</v>
      </c>
      <c r="M10" s="1" t="s">
        <v>73</v>
      </c>
      <c r="N10" s="1" t="s">
        <v>74</v>
      </c>
      <c r="O10" s="1" t="s">
        <v>74</v>
      </c>
      <c r="P10" s="1" t="s">
        <v>8</v>
      </c>
      <c r="Q10" s="1" t="s">
        <v>75</v>
      </c>
      <c r="R10" s="1" t="s">
        <v>133</v>
      </c>
      <c r="S10" s="2">
        <v>2023</v>
      </c>
      <c r="U10" s="1">
        <v>5</v>
      </c>
      <c r="V10" s="1">
        <v>9</v>
      </c>
      <c r="W10" s="1">
        <v>10</v>
      </c>
      <c r="X10" s="1">
        <v>8</v>
      </c>
      <c r="Y10" s="1">
        <v>11</v>
      </c>
      <c r="Z10" s="1">
        <v>18</v>
      </c>
      <c r="AA10" s="1">
        <v>16</v>
      </c>
      <c r="AB10" s="1">
        <v>37</v>
      </c>
      <c r="AC10" s="1">
        <v>35</v>
      </c>
      <c r="AD10" s="1">
        <v>44</v>
      </c>
      <c r="AE10" s="1" t="s">
        <v>77</v>
      </c>
      <c r="AF10" s="12">
        <v>37</v>
      </c>
      <c r="AG10" s="12">
        <v>24</v>
      </c>
      <c r="AH10" s="12">
        <v>13</v>
      </c>
      <c r="AI10" s="13">
        <v>37.361111111111114</v>
      </c>
      <c r="AJ10" s="13">
        <v>64</v>
      </c>
      <c r="AK10" s="13">
        <v>26</v>
      </c>
      <c r="AL10" s="13">
        <v>9.957489005848176</v>
      </c>
      <c r="AM10" s="14">
        <v>89</v>
      </c>
      <c r="AN10" s="14">
        <v>53</v>
      </c>
      <c r="AO10" s="3">
        <f t="shared" si="3"/>
        <v>0.5955056179775281</v>
      </c>
      <c r="AP10" s="14">
        <v>0</v>
      </c>
      <c r="AQ10" s="14">
        <v>37</v>
      </c>
      <c r="AR10" s="3">
        <f t="shared" si="0"/>
        <v>0</v>
      </c>
      <c r="AZ10" s="1">
        <f t="shared" si="1"/>
        <v>0</v>
      </c>
    </row>
    <row r="11" spans="1:52" ht="14.4" x14ac:dyDescent="0.3">
      <c r="A11" s="1" t="s">
        <v>134</v>
      </c>
      <c r="B11" s="2" t="s">
        <v>135</v>
      </c>
      <c r="C11" s="2">
        <v>260000008</v>
      </c>
      <c r="D11" s="1" t="s">
        <v>113</v>
      </c>
      <c r="E11" s="1" t="s">
        <v>114</v>
      </c>
      <c r="F11" s="1" t="s">
        <v>67</v>
      </c>
      <c r="G11" s="1" t="s">
        <v>68</v>
      </c>
      <c r="H11" s="1" t="s">
        <v>69</v>
      </c>
      <c r="I11" s="1" t="s">
        <v>70</v>
      </c>
      <c r="J11" s="1" t="s">
        <v>71</v>
      </c>
      <c r="K11" s="1">
        <v>10</v>
      </c>
      <c r="L11" s="1" t="s">
        <v>115</v>
      </c>
      <c r="M11" s="1" t="s">
        <v>73</v>
      </c>
      <c r="N11" s="1" t="s">
        <v>74</v>
      </c>
      <c r="O11" s="1" t="s">
        <v>74</v>
      </c>
      <c r="P11" s="1" t="s">
        <v>8</v>
      </c>
      <c r="Q11" s="1" t="s">
        <v>136</v>
      </c>
      <c r="R11" s="1" t="s">
        <v>137</v>
      </c>
      <c r="S11" s="2"/>
      <c r="U11" s="1">
        <v>5</v>
      </c>
      <c r="V11" s="1">
        <v>6</v>
      </c>
      <c r="W11" s="1">
        <v>4</v>
      </c>
      <c r="X11" s="1">
        <v>2</v>
      </c>
      <c r="Y11" s="1">
        <v>2</v>
      </c>
      <c r="AD11" s="1">
        <v>2</v>
      </c>
      <c r="AE11" s="1" t="s">
        <v>138</v>
      </c>
      <c r="AF11" s="12">
        <v>4</v>
      </c>
      <c r="AG11" s="12">
        <v>0</v>
      </c>
      <c r="AH11" s="12">
        <v>4</v>
      </c>
      <c r="AI11" s="12">
        <v>38</v>
      </c>
      <c r="AJ11" s="12">
        <v>40</v>
      </c>
      <c r="AK11" s="12">
        <v>36</v>
      </c>
      <c r="AL11" s="13">
        <v>2.3094010767585029</v>
      </c>
      <c r="AM11" s="14"/>
      <c r="AN11" s="14"/>
      <c r="AO11" s="3"/>
      <c r="AP11" s="14">
        <v>0</v>
      </c>
      <c r="AQ11" s="14">
        <v>4</v>
      </c>
      <c r="AR11" s="3">
        <f t="shared" si="0"/>
        <v>0</v>
      </c>
      <c r="AT11" s="1">
        <v>2</v>
      </c>
      <c r="AZ11" s="1">
        <f t="shared" si="1"/>
        <v>2</v>
      </c>
    </row>
    <row r="12" spans="1:52" ht="14.4" x14ac:dyDescent="0.3">
      <c r="A12" s="1" t="s">
        <v>139</v>
      </c>
      <c r="B12" s="2" t="s">
        <v>140</v>
      </c>
      <c r="C12" s="2">
        <v>260000008</v>
      </c>
      <c r="D12" s="1" t="s">
        <v>113</v>
      </c>
      <c r="E12" s="1" t="s">
        <v>114</v>
      </c>
      <c r="F12" s="1" t="s">
        <v>67</v>
      </c>
      <c r="G12" s="1" t="s">
        <v>68</v>
      </c>
      <c r="H12" s="1" t="s">
        <v>69</v>
      </c>
      <c r="I12" s="1" t="s">
        <v>70</v>
      </c>
      <c r="J12" s="1" t="s">
        <v>71</v>
      </c>
      <c r="K12" s="1">
        <v>10</v>
      </c>
      <c r="L12" s="1" t="s">
        <v>115</v>
      </c>
      <c r="M12" s="1" t="s">
        <v>73</v>
      </c>
      <c r="N12" s="1" t="s">
        <v>74</v>
      </c>
      <c r="O12" s="1" t="s">
        <v>74</v>
      </c>
      <c r="P12" s="1" t="s">
        <v>8</v>
      </c>
      <c r="Q12" s="1" t="s">
        <v>141</v>
      </c>
      <c r="R12" s="1" t="s">
        <v>142</v>
      </c>
      <c r="S12" s="2" t="s">
        <v>143</v>
      </c>
      <c r="X12" s="1">
        <v>73</v>
      </c>
      <c r="Y12" s="1">
        <v>67</v>
      </c>
      <c r="Z12" s="1">
        <v>68</v>
      </c>
      <c r="AA12" s="1">
        <v>59</v>
      </c>
      <c r="AB12" s="1">
        <v>72</v>
      </c>
      <c r="AC12" s="1">
        <v>67</v>
      </c>
      <c r="AD12" s="1">
        <v>77</v>
      </c>
      <c r="AE12" s="1" t="s">
        <v>77</v>
      </c>
      <c r="AF12" s="12">
        <v>72</v>
      </c>
      <c r="AG12" s="12">
        <v>10</v>
      </c>
      <c r="AH12" s="12">
        <v>62</v>
      </c>
      <c r="AI12" s="13">
        <v>38.125</v>
      </c>
      <c r="AJ12" s="13">
        <v>60</v>
      </c>
      <c r="AK12" s="13">
        <v>24</v>
      </c>
      <c r="AL12" s="13">
        <v>7.8917634010064441</v>
      </c>
      <c r="AM12" s="14">
        <v>37</v>
      </c>
      <c r="AN12" s="14">
        <v>18</v>
      </c>
      <c r="AO12" s="3">
        <f>AN12/AM12</f>
        <v>0.48648648648648651</v>
      </c>
      <c r="AP12" s="14">
        <v>2</v>
      </c>
      <c r="AQ12" s="14">
        <v>70</v>
      </c>
      <c r="AR12" s="3">
        <f t="shared" si="0"/>
        <v>2.8571428571428571E-2</v>
      </c>
      <c r="AS12" s="1">
        <v>1</v>
      </c>
      <c r="AT12" s="1">
        <v>1</v>
      </c>
      <c r="AU12" s="1">
        <v>1</v>
      </c>
      <c r="AV12" s="1">
        <v>7</v>
      </c>
      <c r="AW12" s="1">
        <v>0</v>
      </c>
      <c r="AX12" s="1">
        <v>2</v>
      </c>
      <c r="AY12" s="1">
        <v>1</v>
      </c>
      <c r="AZ12" s="1">
        <f t="shared" si="1"/>
        <v>13</v>
      </c>
    </row>
    <row r="13" spans="1:52" ht="14.4" x14ac:dyDescent="0.3">
      <c r="A13" s="1" t="s">
        <v>144</v>
      </c>
      <c r="B13" s="2" t="s">
        <v>145</v>
      </c>
      <c r="C13" s="2">
        <v>260000029</v>
      </c>
      <c r="D13" s="1" t="s">
        <v>146</v>
      </c>
      <c r="E13" s="1" t="s">
        <v>147</v>
      </c>
      <c r="F13" s="1" t="s">
        <v>67</v>
      </c>
      <c r="G13" s="1" t="s">
        <v>68</v>
      </c>
      <c r="H13" s="1" t="s">
        <v>69</v>
      </c>
      <c r="I13" s="1" t="s">
        <v>70</v>
      </c>
      <c r="J13" s="1" t="s">
        <v>131</v>
      </c>
      <c r="K13" s="1">
        <v>8</v>
      </c>
      <c r="L13" s="1" t="s">
        <v>148</v>
      </c>
      <c r="M13" s="1" t="s">
        <v>149</v>
      </c>
      <c r="N13" s="1" t="s">
        <v>148</v>
      </c>
      <c r="O13" s="1" t="s">
        <v>150</v>
      </c>
      <c r="P13" s="1" t="s">
        <v>8</v>
      </c>
      <c r="Q13" s="1" t="s">
        <v>141</v>
      </c>
      <c r="R13" s="1" t="s">
        <v>151</v>
      </c>
      <c r="S13" s="2">
        <v>2018</v>
      </c>
      <c r="T13" s="1">
        <v>13</v>
      </c>
      <c r="AE13" s="1" t="s">
        <v>110</v>
      </c>
      <c r="AF13" s="12">
        <v>26</v>
      </c>
      <c r="AG13" s="12">
        <v>6</v>
      </c>
      <c r="AH13" s="12">
        <v>20</v>
      </c>
      <c r="AI13" s="12">
        <v>39.230769230769234</v>
      </c>
      <c r="AJ13" s="12">
        <v>59</v>
      </c>
      <c r="AK13" s="12">
        <v>28</v>
      </c>
      <c r="AL13" s="12">
        <v>11.229631133061108</v>
      </c>
      <c r="AM13" s="14"/>
      <c r="AN13" s="14"/>
      <c r="AO13" s="3"/>
      <c r="AP13" s="14">
        <v>0</v>
      </c>
      <c r="AQ13" s="14">
        <v>26</v>
      </c>
      <c r="AR13" s="3">
        <f t="shared" si="0"/>
        <v>0</v>
      </c>
      <c r="AZ13" s="1">
        <f t="shared" si="1"/>
        <v>0</v>
      </c>
    </row>
    <row r="14" spans="1:52" ht="14.4" x14ac:dyDescent="0.3">
      <c r="A14" s="1" t="s">
        <v>152</v>
      </c>
      <c r="B14" s="2" t="s">
        <v>153</v>
      </c>
      <c r="C14" s="2">
        <v>260000008</v>
      </c>
      <c r="D14" s="1" t="s">
        <v>113</v>
      </c>
      <c r="E14" s="1" t="s">
        <v>114</v>
      </c>
      <c r="F14" s="1" t="s">
        <v>67</v>
      </c>
      <c r="G14" s="1" t="s">
        <v>68</v>
      </c>
      <c r="H14" s="1" t="s">
        <v>69</v>
      </c>
      <c r="I14" s="1" t="s">
        <v>70</v>
      </c>
      <c r="J14" s="1" t="s">
        <v>71</v>
      </c>
      <c r="K14" s="1">
        <v>10</v>
      </c>
      <c r="L14" s="1" t="s">
        <v>115</v>
      </c>
      <c r="M14" s="1" t="s">
        <v>73</v>
      </c>
      <c r="N14" s="1" t="s">
        <v>74</v>
      </c>
      <c r="O14" s="1" t="s">
        <v>74</v>
      </c>
      <c r="P14" s="1" t="s">
        <v>8</v>
      </c>
      <c r="Q14" s="1" t="s">
        <v>136</v>
      </c>
      <c r="R14" s="1" t="s">
        <v>154</v>
      </c>
      <c r="S14" s="2"/>
      <c r="X14" s="1">
        <v>7</v>
      </c>
      <c r="Y14" s="1">
        <v>8</v>
      </c>
      <c r="AA14" s="1">
        <v>5</v>
      </c>
      <c r="AB14" s="1">
        <v>1</v>
      </c>
      <c r="AC14" s="1">
        <v>8</v>
      </c>
      <c r="AD14" s="1">
        <v>9</v>
      </c>
      <c r="AE14" s="1" t="s">
        <v>77</v>
      </c>
      <c r="AF14" s="12">
        <v>1</v>
      </c>
      <c r="AG14" s="12">
        <v>0</v>
      </c>
      <c r="AH14" s="12">
        <v>1</v>
      </c>
      <c r="AI14" s="13">
        <v>40</v>
      </c>
      <c r="AJ14" s="13">
        <v>40</v>
      </c>
      <c r="AK14" s="13">
        <v>40</v>
      </c>
      <c r="AL14" s="13">
        <v>0</v>
      </c>
      <c r="AM14" s="14">
        <v>4</v>
      </c>
      <c r="AN14" s="14">
        <v>3</v>
      </c>
      <c r="AO14" s="3">
        <f t="shared" ref="AO14:AO16" si="4">AN14/AM14</f>
        <v>0.75</v>
      </c>
      <c r="AP14" s="14">
        <v>0</v>
      </c>
      <c r="AQ14" s="14">
        <v>1</v>
      </c>
      <c r="AR14" s="3">
        <f t="shared" si="0"/>
        <v>0</v>
      </c>
      <c r="AZ14" s="1">
        <f t="shared" si="1"/>
        <v>0</v>
      </c>
    </row>
    <row r="15" spans="1:52" ht="14.4" x14ac:dyDescent="0.3">
      <c r="A15" s="1" t="s">
        <v>155</v>
      </c>
      <c r="B15" s="2" t="s">
        <v>156</v>
      </c>
      <c r="C15" s="2">
        <v>260000014</v>
      </c>
      <c r="D15" s="1" t="s">
        <v>65</v>
      </c>
      <c r="E15" s="1" t="s">
        <v>66</v>
      </c>
      <c r="F15" s="1" t="s">
        <v>67</v>
      </c>
      <c r="G15" s="1" t="s">
        <v>68</v>
      </c>
      <c r="H15" s="1" t="s">
        <v>69</v>
      </c>
      <c r="I15" s="1" t="s">
        <v>70</v>
      </c>
      <c r="J15" s="1" t="s">
        <v>71</v>
      </c>
      <c r="K15" s="1">
        <v>10</v>
      </c>
      <c r="L15" s="1" t="s">
        <v>72</v>
      </c>
      <c r="M15" s="1" t="s">
        <v>73</v>
      </c>
      <c r="N15" s="1" t="s">
        <v>74</v>
      </c>
      <c r="O15" s="1" t="s">
        <v>74</v>
      </c>
      <c r="P15" s="1" t="s">
        <v>8</v>
      </c>
      <c r="Q15" s="1" t="s">
        <v>75</v>
      </c>
      <c r="R15" s="1" t="s">
        <v>157</v>
      </c>
      <c r="S15" s="2"/>
      <c r="U15" s="1">
        <v>15</v>
      </c>
      <c r="AB15" s="1">
        <v>12</v>
      </c>
      <c r="AC15" s="1">
        <v>7</v>
      </c>
      <c r="AE15" s="1" t="s">
        <v>77</v>
      </c>
      <c r="AF15" s="12">
        <v>12</v>
      </c>
      <c r="AG15" s="12">
        <v>3</v>
      </c>
      <c r="AH15" s="12">
        <v>9</v>
      </c>
      <c r="AI15" s="13">
        <v>40.25</v>
      </c>
      <c r="AJ15" s="13">
        <v>51</v>
      </c>
      <c r="AK15" s="13">
        <v>28</v>
      </c>
      <c r="AL15" s="13">
        <v>7.350015460713486</v>
      </c>
      <c r="AM15" s="14">
        <v>7</v>
      </c>
      <c r="AN15" s="14">
        <v>7</v>
      </c>
      <c r="AO15" s="3">
        <f t="shared" si="4"/>
        <v>1</v>
      </c>
      <c r="AP15" s="14">
        <v>0</v>
      </c>
      <c r="AQ15" s="14">
        <v>12</v>
      </c>
      <c r="AR15" s="3">
        <f t="shared" si="0"/>
        <v>0</v>
      </c>
      <c r="AZ15" s="1">
        <f t="shared" si="1"/>
        <v>0</v>
      </c>
    </row>
    <row r="16" spans="1:52" ht="14.4" x14ac:dyDescent="0.3">
      <c r="A16" s="1" t="s">
        <v>158</v>
      </c>
      <c r="B16" s="2" t="s">
        <v>159</v>
      </c>
      <c r="C16" s="2">
        <v>260000008</v>
      </c>
      <c r="D16" s="1" t="s">
        <v>113</v>
      </c>
      <c r="E16" s="1" t="s">
        <v>114</v>
      </c>
      <c r="F16" s="1" t="s">
        <v>67</v>
      </c>
      <c r="G16" s="1" t="s">
        <v>68</v>
      </c>
      <c r="H16" s="1" t="s">
        <v>69</v>
      </c>
      <c r="I16" s="1" t="s">
        <v>70</v>
      </c>
      <c r="J16" s="1" t="s">
        <v>71</v>
      </c>
      <c r="K16" s="1">
        <v>10</v>
      </c>
      <c r="L16" s="1" t="s">
        <v>115</v>
      </c>
      <c r="M16" s="1" t="s">
        <v>73</v>
      </c>
      <c r="N16" s="1" t="s">
        <v>74</v>
      </c>
      <c r="O16" s="1" t="s">
        <v>74</v>
      </c>
      <c r="P16" s="1" t="s">
        <v>8</v>
      </c>
      <c r="Q16" s="1" t="s">
        <v>90</v>
      </c>
      <c r="R16" s="1" t="s">
        <v>160</v>
      </c>
      <c r="S16" s="2"/>
      <c r="X16" s="1">
        <v>4</v>
      </c>
      <c r="Y16" s="1">
        <v>4</v>
      </c>
      <c r="Z16" s="1">
        <v>6</v>
      </c>
      <c r="AA16" s="1">
        <v>7</v>
      </c>
      <c r="AB16" s="1">
        <v>6</v>
      </c>
      <c r="AC16" s="1">
        <v>9</v>
      </c>
      <c r="AD16" s="1">
        <v>7</v>
      </c>
      <c r="AE16" s="1" t="s">
        <v>77</v>
      </c>
      <c r="AF16" s="12">
        <v>6</v>
      </c>
      <c r="AG16" s="12">
        <v>1</v>
      </c>
      <c r="AH16" s="12">
        <v>5</v>
      </c>
      <c r="AI16" s="13">
        <v>40.5</v>
      </c>
      <c r="AJ16" s="13">
        <v>54</v>
      </c>
      <c r="AK16" s="13">
        <v>28</v>
      </c>
      <c r="AL16" s="13">
        <v>10.251829105091442</v>
      </c>
      <c r="AM16" s="14">
        <v>3</v>
      </c>
      <c r="AN16" s="14">
        <v>1</v>
      </c>
      <c r="AO16" s="3">
        <f t="shared" si="4"/>
        <v>0.33333333333333331</v>
      </c>
      <c r="AP16" s="14">
        <v>0</v>
      </c>
      <c r="AQ16" s="14">
        <v>6</v>
      </c>
      <c r="AR16" s="3">
        <f t="shared" si="0"/>
        <v>0</v>
      </c>
      <c r="AZ16" s="1">
        <f t="shared" si="1"/>
        <v>0</v>
      </c>
    </row>
    <row r="17" spans="1:52" ht="14.4" x14ac:dyDescent="0.3">
      <c r="A17" s="1" t="s">
        <v>161</v>
      </c>
      <c r="B17" s="2" t="s">
        <v>162</v>
      </c>
      <c r="C17" s="2">
        <v>260000029</v>
      </c>
      <c r="D17" s="1" t="s">
        <v>146</v>
      </c>
      <c r="E17" s="1" t="s">
        <v>147</v>
      </c>
      <c r="F17" s="1" t="s">
        <v>67</v>
      </c>
      <c r="G17" s="1" t="s">
        <v>68</v>
      </c>
      <c r="H17" s="1" t="s">
        <v>69</v>
      </c>
      <c r="I17" s="1" t="s">
        <v>70</v>
      </c>
      <c r="J17" s="1" t="s">
        <v>131</v>
      </c>
      <c r="K17" s="1">
        <v>8</v>
      </c>
      <c r="L17" s="1" t="s">
        <v>148</v>
      </c>
      <c r="M17" s="1" t="s">
        <v>149</v>
      </c>
      <c r="N17" s="1" t="s">
        <v>148</v>
      </c>
      <c r="O17" s="1" t="s">
        <v>150</v>
      </c>
      <c r="P17" s="1" t="s">
        <v>8</v>
      </c>
      <c r="Q17" s="1" t="s">
        <v>80</v>
      </c>
      <c r="R17" s="1" t="s">
        <v>109</v>
      </c>
      <c r="S17" s="2"/>
      <c r="T17" s="1">
        <v>7</v>
      </c>
      <c r="AE17" s="1" t="s">
        <v>110</v>
      </c>
      <c r="AF17" s="12">
        <v>14</v>
      </c>
      <c r="AG17" s="12">
        <v>8</v>
      </c>
      <c r="AH17" s="12">
        <v>6</v>
      </c>
      <c r="AI17" s="12">
        <v>40.714285714285715</v>
      </c>
      <c r="AJ17" s="12">
        <v>51</v>
      </c>
      <c r="AK17" s="12">
        <v>35</v>
      </c>
      <c r="AL17" s="12">
        <v>6.1946449755919222</v>
      </c>
      <c r="AM17" s="14"/>
      <c r="AN17" s="14"/>
      <c r="AO17" s="3"/>
      <c r="AP17" s="14">
        <v>0</v>
      </c>
      <c r="AQ17" s="14">
        <v>14</v>
      </c>
      <c r="AR17" s="3">
        <f t="shared" si="0"/>
        <v>0</v>
      </c>
      <c r="AZ17" s="1">
        <f t="shared" si="1"/>
        <v>0</v>
      </c>
    </row>
    <row r="18" spans="1:52" ht="14.4" x14ac:dyDescent="0.3">
      <c r="A18" s="1" t="s">
        <v>163</v>
      </c>
      <c r="B18" s="2" t="s">
        <v>164</v>
      </c>
      <c r="C18" s="2">
        <v>160000001</v>
      </c>
      <c r="D18" s="1" t="s">
        <v>123</v>
      </c>
      <c r="E18" s="1" t="s">
        <v>124</v>
      </c>
      <c r="F18" s="1" t="s">
        <v>67</v>
      </c>
      <c r="G18" s="1" t="s">
        <v>86</v>
      </c>
      <c r="H18" s="1" t="s">
        <v>87</v>
      </c>
      <c r="I18" s="1" t="s">
        <v>70</v>
      </c>
      <c r="J18" s="1" t="s">
        <v>125</v>
      </c>
      <c r="K18" s="1">
        <v>10</v>
      </c>
      <c r="L18" s="1" t="s">
        <v>74</v>
      </c>
      <c r="M18" s="1" t="s">
        <v>73</v>
      </c>
      <c r="N18" s="1" t="s">
        <v>74</v>
      </c>
      <c r="O18" s="1" t="s">
        <v>74</v>
      </c>
      <c r="P18" s="1" t="s">
        <v>8</v>
      </c>
      <c r="Q18" s="1" t="s">
        <v>80</v>
      </c>
      <c r="R18" s="1" t="s">
        <v>165</v>
      </c>
      <c r="S18" s="2"/>
      <c r="T18" s="1">
        <v>21</v>
      </c>
      <c r="V18" s="1">
        <v>10</v>
      </c>
      <c r="W18" s="1">
        <v>19</v>
      </c>
      <c r="Y18" s="1">
        <v>19</v>
      </c>
      <c r="Z18" s="1">
        <v>14</v>
      </c>
      <c r="AC18" s="1">
        <v>15</v>
      </c>
      <c r="AE18" s="1" t="s">
        <v>93</v>
      </c>
      <c r="AF18" s="15">
        <v>30</v>
      </c>
      <c r="AG18" s="15">
        <v>12</v>
      </c>
      <c r="AH18" s="15">
        <v>18</v>
      </c>
      <c r="AI18" s="13">
        <v>40.714285714285715</v>
      </c>
      <c r="AJ18" s="13">
        <v>51</v>
      </c>
      <c r="AK18" s="13">
        <v>51</v>
      </c>
      <c r="AL18" s="13">
        <v>27</v>
      </c>
      <c r="AM18" s="14"/>
      <c r="AN18" s="14"/>
      <c r="AO18" s="3"/>
      <c r="AP18" s="14">
        <v>0</v>
      </c>
      <c r="AQ18" s="14">
        <v>30</v>
      </c>
      <c r="AR18" s="3">
        <f t="shared" si="0"/>
        <v>0</v>
      </c>
      <c r="AS18" s="1">
        <v>3</v>
      </c>
      <c r="AT18" s="1">
        <v>0</v>
      </c>
      <c r="AU18" s="1">
        <v>2</v>
      </c>
      <c r="AV18" s="1">
        <v>0</v>
      </c>
      <c r="AW18" s="1">
        <v>0</v>
      </c>
      <c r="AX18" s="1">
        <v>0</v>
      </c>
      <c r="AY18" s="1">
        <v>0</v>
      </c>
      <c r="AZ18" s="1">
        <f t="shared" si="1"/>
        <v>5</v>
      </c>
    </row>
    <row r="19" spans="1:52" ht="14.4" x14ac:dyDescent="0.3">
      <c r="A19" s="1" t="s">
        <v>166</v>
      </c>
      <c r="B19" s="2" t="s">
        <v>167</v>
      </c>
      <c r="C19" s="2">
        <v>260000019</v>
      </c>
      <c r="D19" s="1" t="s">
        <v>96</v>
      </c>
      <c r="E19" s="1" t="s">
        <v>97</v>
      </c>
      <c r="F19" s="1" t="s">
        <v>67</v>
      </c>
      <c r="G19" s="1" t="s">
        <v>68</v>
      </c>
      <c r="H19" s="1" t="s">
        <v>69</v>
      </c>
      <c r="I19" s="1" t="s">
        <v>70</v>
      </c>
      <c r="J19" s="1" t="s">
        <v>98</v>
      </c>
      <c r="K19" s="1">
        <v>6</v>
      </c>
      <c r="L19" s="1" t="s">
        <v>99</v>
      </c>
      <c r="M19" s="1" t="s">
        <v>73</v>
      </c>
      <c r="N19" s="1" t="s">
        <v>74</v>
      </c>
      <c r="O19" s="1" t="s">
        <v>74</v>
      </c>
      <c r="P19" s="1" t="s">
        <v>8</v>
      </c>
      <c r="Q19" s="1" t="s">
        <v>80</v>
      </c>
      <c r="R19" s="1" t="s">
        <v>168</v>
      </c>
      <c r="S19" s="2"/>
      <c r="T19" s="1">
        <v>20</v>
      </c>
      <c r="U19" s="1">
        <v>34</v>
      </c>
      <c r="X19" s="1">
        <v>44</v>
      </c>
      <c r="Z19" s="1">
        <v>3</v>
      </c>
      <c r="AA19" s="1">
        <v>15</v>
      </c>
      <c r="AB19" s="1">
        <v>24</v>
      </c>
      <c r="AD19" s="1">
        <v>28</v>
      </c>
      <c r="AE19" s="1" t="s">
        <v>77</v>
      </c>
      <c r="AF19" s="12">
        <v>24</v>
      </c>
      <c r="AG19" s="12">
        <v>8</v>
      </c>
      <c r="AH19" s="12">
        <v>16</v>
      </c>
      <c r="AI19" s="13">
        <v>40.791666666666664</v>
      </c>
      <c r="AJ19" s="13">
        <v>64</v>
      </c>
      <c r="AK19" s="13">
        <v>30</v>
      </c>
      <c r="AL19" s="13">
        <v>9.352884543036037</v>
      </c>
      <c r="AM19" s="14">
        <v>15</v>
      </c>
      <c r="AN19" s="14">
        <v>15</v>
      </c>
      <c r="AO19" s="3">
        <f>AN19/AM19</f>
        <v>1</v>
      </c>
      <c r="AP19" s="14">
        <v>0</v>
      </c>
      <c r="AQ19" s="14">
        <v>24</v>
      </c>
      <c r="AR19" s="3">
        <f t="shared" si="0"/>
        <v>0</v>
      </c>
      <c r="AS19" s="1">
        <v>1</v>
      </c>
      <c r="AT19" s="1">
        <v>10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f t="shared" si="1"/>
        <v>11</v>
      </c>
    </row>
    <row r="20" spans="1:52" ht="14.4" x14ac:dyDescent="0.3">
      <c r="A20" s="1" t="s">
        <v>169</v>
      </c>
      <c r="B20" s="2" t="s">
        <v>170</v>
      </c>
      <c r="C20" s="2">
        <v>260000008</v>
      </c>
      <c r="D20" s="1" t="s">
        <v>113</v>
      </c>
      <c r="E20" s="1" t="s">
        <v>114</v>
      </c>
      <c r="F20" s="1" t="s">
        <v>67</v>
      </c>
      <c r="G20" s="1" t="s">
        <v>68</v>
      </c>
      <c r="H20" s="1" t="s">
        <v>69</v>
      </c>
      <c r="I20" s="1" t="s">
        <v>70</v>
      </c>
      <c r="J20" s="1" t="s">
        <v>71</v>
      </c>
      <c r="K20" s="1">
        <v>10</v>
      </c>
      <c r="L20" s="1" t="s">
        <v>115</v>
      </c>
      <c r="M20" s="1" t="s">
        <v>73</v>
      </c>
      <c r="N20" s="1" t="s">
        <v>74</v>
      </c>
      <c r="O20" s="1" t="s">
        <v>74</v>
      </c>
      <c r="P20" s="1" t="s">
        <v>8</v>
      </c>
      <c r="Q20" s="1" t="s">
        <v>80</v>
      </c>
      <c r="R20" s="1" t="s">
        <v>171</v>
      </c>
      <c r="S20" s="2"/>
      <c r="X20" s="1">
        <v>2</v>
      </c>
      <c r="Y20" s="1">
        <v>1</v>
      </c>
      <c r="Z20" s="1">
        <v>1</v>
      </c>
      <c r="AA20" s="1">
        <v>1</v>
      </c>
      <c r="AB20" s="1">
        <v>1</v>
      </c>
      <c r="AD20" s="1">
        <v>2</v>
      </c>
      <c r="AE20" s="1" t="s">
        <v>77</v>
      </c>
      <c r="AF20" s="12">
        <v>1</v>
      </c>
      <c r="AG20" s="12">
        <v>0</v>
      </c>
      <c r="AH20" s="12">
        <v>1</v>
      </c>
      <c r="AI20" s="13">
        <v>41</v>
      </c>
      <c r="AJ20" s="13">
        <v>41</v>
      </c>
      <c r="AK20" s="13">
        <v>41</v>
      </c>
      <c r="AL20" s="13">
        <v>0</v>
      </c>
      <c r="AM20" s="14"/>
      <c r="AN20" s="14"/>
      <c r="AO20" s="3"/>
      <c r="AP20" s="14">
        <v>0</v>
      </c>
      <c r="AQ20" s="14">
        <v>1</v>
      </c>
      <c r="AR20" s="3">
        <f t="shared" si="0"/>
        <v>0</v>
      </c>
      <c r="AZ20" s="1">
        <f t="shared" si="1"/>
        <v>0</v>
      </c>
    </row>
    <row r="21" spans="1:52" ht="15.75" customHeight="1" x14ac:dyDescent="0.3">
      <c r="A21" s="1" t="s">
        <v>172</v>
      </c>
      <c r="B21" s="2" t="s">
        <v>173</v>
      </c>
      <c r="C21" s="2">
        <v>260000014</v>
      </c>
      <c r="D21" s="1" t="s">
        <v>65</v>
      </c>
      <c r="E21" s="1" t="s">
        <v>66</v>
      </c>
      <c r="F21" s="1" t="s">
        <v>67</v>
      </c>
      <c r="G21" s="1" t="s">
        <v>68</v>
      </c>
      <c r="H21" s="1" t="s">
        <v>69</v>
      </c>
      <c r="I21" s="1" t="s">
        <v>70</v>
      </c>
      <c r="J21" s="1" t="s">
        <v>71</v>
      </c>
      <c r="K21" s="1">
        <v>10</v>
      </c>
      <c r="L21" s="1" t="s">
        <v>72</v>
      </c>
      <c r="M21" s="1" t="s">
        <v>73</v>
      </c>
      <c r="N21" s="1" t="s">
        <v>74</v>
      </c>
      <c r="O21" s="1" t="s">
        <v>74</v>
      </c>
      <c r="P21" s="1" t="s">
        <v>8</v>
      </c>
      <c r="Q21" s="1" t="s">
        <v>90</v>
      </c>
      <c r="R21" s="1" t="s">
        <v>174</v>
      </c>
      <c r="S21" s="2"/>
      <c r="U21" s="1">
        <v>1</v>
      </c>
      <c r="AE21" s="1" t="s">
        <v>175</v>
      </c>
      <c r="AF21" s="12">
        <v>2</v>
      </c>
      <c r="AG21" s="12">
        <v>0</v>
      </c>
      <c r="AH21" s="12">
        <v>2</v>
      </c>
      <c r="AI21" s="12">
        <v>41</v>
      </c>
      <c r="AJ21" s="12">
        <v>41</v>
      </c>
      <c r="AK21" s="12">
        <v>41</v>
      </c>
      <c r="AL21" s="12">
        <v>0</v>
      </c>
      <c r="AM21" s="14"/>
      <c r="AN21" s="14"/>
      <c r="AO21" s="3"/>
      <c r="AP21" s="14">
        <v>0</v>
      </c>
      <c r="AQ21" s="14">
        <v>2</v>
      </c>
      <c r="AR21" s="3">
        <f t="shared" si="0"/>
        <v>0</v>
      </c>
      <c r="AZ21" s="1">
        <f t="shared" si="1"/>
        <v>0</v>
      </c>
    </row>
    <row r="22" spans="1:52" ht="15.75" customHeight="1" x14ac:dyDescent="0.3">
      <c r="A22" s="1" t="s">
        <v>176</v>
      </c>
      <c r="B22" s="2" t="s">
        <v>177</v>
      </c>
      <c r="C22" s="2">
        <v>260000019</v>
      </c>
      <c r="D22" s="1" t="s">
        <v>96</v>
      </c>
      <c r="E22" s="1" t="s">
        <v>97</v>
      </c>
      <c r="F22" s="1" t="s">
        <v>67</v>
      </c>
      <c r="G22" s="1" t="s">
        <v>68</v>
      </c>
      <c r="H22" s="1" t="s">
        <v>69</v>
      </c>
      <c r="I22" s="1" t="s">
        <v>70</v>
      </c>
      <c r="J22" s="1" t="s">
        <v>98</v>
      </c>
      <c r="K22" s="1">
        <v>6</v>
      </c>
      <c r="L22" s="1" t="s">
        <v>99</v>
      </c>
      <c r="M22" s="1" t="s">
        <v>73</v>
      </c>
      <c r="N22" s="1" t="s">
        <v>74</v>
      </c>
      <c r="O22" s="1" t="s">
        <v>74</v>
      </c>
      <c r="P22" s="1" t="s">
        <v>8</v>
      </c>
      <c r="Q22" s="1" t="s">
        <v>75</v>
      </c>
      <c r="R22" s="1" t="s">
        <v>178</v>
      </c>
      <c r="S22" s="2"/>
      <c r="T22" s="1">
        <v>5</v>
      </c>
      <c r="X22" s="1">
        <v>16</v>
      </c>
      <c r="Z22" s="1">
        <v>8</v>
      </c>
      <c r="AA22" s="1">
        <v>6</v>
      </c>
      <c r="AB22" s="1">
        <v>4</v>
      </c>
      <c r="AD22" s="1">
        <v>2</v>
      </c>
      <c r="AE22" s="1" t="s">
        <v>77</v>
      </c>
      <c r="AF22" s="12">
        <v>4</v>
      </c>
      <c r="AG22" s="12">
        <v>3</v>
      </c>
      <c r="AH22" s="12">
        <v>1</v>
      </c>
      <c r="AI22" s="13">
        <v>41.25</v>
      </c>
      <c r="AJ22" s="13">
        <v>57</v>
      </c>
      <c r="AK22" s="13">
        <v>35</v>
      </c>
      <c r="AL22" s="13">
        <v>10.531698185319719</v>
      </c>
      <c r="AM22" s="14">
        <v>1</v>
      </c>
      <c r="AN22" s="14"/>
      <c r="AO22" s="3">
        <f t="shared" ref="AO22:AO27" si="5">AN22/AM22</f>
        <v>0</v>
      </c>
      <c r="AP22" s="14">
        <v>0</v>
      </c>
      <c r="AQ22" s="14">
        <v>4</v>
      </c>
      <c r="AR22" s="3">
        <f t="shared" si="0"/>
        <v>0</v>
      </c>
      <c r="AS22" s="1">
        <v>0</v>
      </c>
      <c r="AT22" s="1">
        <v>4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f t="shared" si="1"/>
        <v>4</v>
      </c>
    </row>
    <row r="23" spans="1:52" ht="15.75" customHeight="1" x14ac:dyDescent="0.3">
      <c r="A23" s="1" t="s">
        <v>179</v>
      </c>
      <c r="B23" s="2" t="s">
        <v>180</v>
      </c>
      <c r="C23" s="2">
        <v>260000008</v>
      </c>
      <c r="D23" s="1" t="s">
        <v>113</v>
      </c>
      <c r="E23" s="1" t="s">
        <v>114</v>
      </c>
      <c r="F23" s="1" t="s">
        <v>67</v>
      </c>
      <c r="G23" s="1" t="s">
        <v>68</v>
      </c>
      <c r="H23" s="1" t="s">
        <v>69</v>
      </c>
      <c r="I23" s="1" t="s">
        <v>70</v>
      </c>
      <c r="J23" s="1" t="s">
        <v>71</v>
      </c>
      <c r="K23" s="1">
        <v>10</v>
      </c>
      <c r="L23" s="1" t="s">
        <v>115</v>
      </c>
      <c r="M23" s="1" t="s">
        <v>73</v>
      </c>
      <c r="N23" s="1" t="s">
        <v>74</v>
      </c>
      <c r="O23" s="1" t="s">
        <v>74</v>
      </c>
      <c r="P23" s="1" t="s">
        <v>8</v>
      </c>
      <c r="Q23" s="1" t="s">
        <v>136</v>
      </c>
      <c r="R23" s="1" t="s">
        <v>181</v>
      </c>
      <c r="S23" s="2"/>
      <c r="X23" s="1">
        <v>1</v>
      </c>
      <c r="Y23" s="1">
        <v>1</v>
      </c>
      <c r="Z23" s="1">
        <v>2</v>
      </c>
      <c r="AA23" s="1">
        <v>2</v>
      </c>
      <c r="AB23" s="1">
        <v>4</v>
      </c>
      <c r="AC23" s="1">
        <v>3</v>
      </c>
      <c r="AD23" s="1">
        <v>3</v>
      </c>
      <c r="AE23" s="1" t="s">
        <v>77</v>
      </c>
      <c r="AF23" s="12">
        <v>4</v>
      </c>
      <c r="AG23" s="12">
        <v>1</v>
      </c>
      <c r="AH23" s="12">
        <v>3</v>
      </c>
      <c r="AI23" s="13">
        <v>41.25</v>
      </c>
      <c r="AJ23" s="13">
        <v>50</v>
      </c>
      <c r="AK23" s="13">
        <v>34</v>
      </c>
      <c r="AL23" s="13">
        <v>6.6017674401127868</v>
      </c>
      <c r="AM23" s="14">
        <v>3</v>
      </c>
      <c r="AN23" s="14">
        <v>3</v>
      </c>
      <c r="AO23" s="3">
        <f t="shared" si="5"/>
        <v>1</v>
      </c>
      <c r="AP23" s="14">
        <v>0</v>
      </c>
      <c r="AQ23" s="14">
        <v>4</v>
      </c>
      <c r="AR23" s="3">
        <f t="shared" si="0"/>
        <v>0</v>
      </c>
      <c r="AZ23" s="1">
        <f t="shared" si="1"/>
        <v>0</v>
      </c>
    </row>
    <row r="24" spans="1:52" ht="15.75" customHeight="1" x14ac:dyDescent="0.3">
      <c r="A24" s="1" t="s">
        <v>182</v>
      </c>
      <c r="B24" s="2" t="s">
        <v>183</v>
      </c>
      <c r="C24" s="2">
        <v>160000007</v>
      </c>
      <c r="D24" s="1" t="s">
        <v>129</v>
      </c>
      <c r="E24" s="1" t="s">
        <v>130</v>
      </c>
      <c r="F24" s="1" t="s">
        <v>67</v>
      </c>
      <c r="G24" s="1" t="s">
        <v>86</v>
      </c>
      <c r="H24" s="1" t="s">
        <v>87</v>
      </c>
      <c r="I24" s="1" t="s">
        <v>70</v>
      </c>
      <c r="J24" s="1" t="s">
        <v>131</v>
      </c>
      <c r="K24" s="1">
        <v>8</v>
      </c>
      <c r="L24" s="1" t="s">
        <v>132</v>
      </c>
      <c r="M24" s="1" t="s">
        <v>73</v>
      </c>
      <c r="N24" s="1" t="s">
        <v>74</v>
      </c>
      <c r="O24" s="1" t="s">
        <v>74</v>
      </c>
      <c r="P24" s="1" t="s">
        <v>8</v>
      </c>
      <c r="Q24" s="1" t="s">
        <v>90</v>
      </c>
      <c r="R24" s="1" t="s">
        <v>184</v>
      </c>
      <c r="S24" s="2">
        <v>2023</v>
      </c>
      <c r="U24" s="1">
        <v>39</v>
      </c>
      <c r="V24" s="1">
        <v>44</v>
      </c>
      <c r="W24" s="1">
        <v>51</v>
      </c>
      <c r="X24" s="1">
        <v>58</v>
      </c>
      <c r="Y24" s="1">
        <v>49</v>
      </c>
      <c r="Z24" s="1">
        <v>50</v>
      </c>
      <c r="AA24" s="1">
        <v>29</v>
      </c>
      <c r="AB24" s="1">
        <v>45</v>
      </c>
      <c r="AC24" s="1">
        <v>39</v>
      </c>
      <c r="AD24" s="1">
        <v>46</v>
      </c>
      <c r="AE24" s="1" t="s">
        <v>77</v>
      </c>
      <c r="AF24" s="12">
        <v>45</v>
      </c>
      <c r="AG24" s="12">
        <v>23</v>
      </c>
      <c r="AH24" s="12">
        <v>22</v>
      </c>
      <c r="AI24" s="13">
        <v>41.266666666666666</v>
      </c>
      <c r="AJ24" s="13">
        <v>60</v>
      </c>
      <c r="AK24" s="13">
        <v>26</v>
      </c>
      <c r="AL24" s="13">
        <v>9.3793777657543647</v>
      </c>
      <c r="AM24" s="14">
        <v>114</v>
      </c>
      <c r="AN24" s="14">
        <v>49</v>
      </c>
      <c r="AO24" s="3">
        <f t="shared" si="5"/>
        <v>0.42982456140350878</v>
      </c>
      <c r="AP24" s="14">
        <v>3</v>
      </c>
      <c r="AQ24" s="14">
        <v>42</v>
      </c>
      <c r="AR24" s="3">
        <f t="shared" si="0"/>
        <v>7.1428571428571425E-2</v>
      </c>
      <c r="AZ24" s="1">
        <f t="shared" si="1"/>
        <v>0</v>
      </c>
    </row>
    <row r="25" spans="1:52" ht="15.75" customHeight="1" x14ac:dyDescent="0.3">
      <c r="A25" s="1" t="s">
        <v>185</v>
      </c>
      <c r="B25" s="2" t="s">
        <v>186</v>
      </c>
      <c r="C25" s="2">
        <v>160000001</v>
      </c>
      <c r="D25" s="1" t="s">
        <v>123</v>
      </c>
      <c r="E25" s="1" t="s">
        <v>124</v>
      </c>
      <c r="F25" s="1" t="s">
        <v>67</v>
      </c>
      <c r="G25" s="1" t="s">
        <v>86</v>
      </c>
      <c r="H25" s="1" t="s">
        <v>87</v>
      </c>
      <c r="I25" s="1" t="s">
        <v>70</v>
      </c>
      <c r="J25" s="1" t="s">
        <v>125</v>
      </c>
      <c r="K25" s="1">
        <v>10</v>
      </c>
      <c r="L25" s="1" t="s">
        <v>74</v>
      </c>
      <c r="M25" s="1" t="s">
        <v>73</v>
      </c>
      <c r="N25" s="1" t="s">
        <v>74</v>
      </c>
      <c r="O25" s="1" t="s">
        <v>74</v>
      </c>
      <c r="P25" s="1" t="s">
        <v>8</v>
      </c>
      <c r="Q25" s="1" t="s">
        <v>136</v>
      </c>
      <c r="R25" s="1" t="s">
        <v>187</v>
      </c>
      <c r="S25" s="2"/>
      <c r="T25" s="1">
        <v>22</v>
      </c>
      <c r="U25" s="1">
        <v>17</v>
      </c>
      <c r="V25" s="1">
        <v>24</v>
      </c>
      <c r="W25" s="1">
        <v>19</v>
      </c>
      <c r="Y25" s="1">
        <v>14</v>
      </c>
      <c r="Z25" s="1">
        <v>10</v>
      </c>
      <c r="AC25" s="1">
        <v>11</v>
      </c>
      <c r="AD25" s="1">
        <v>8</v>
      </c>
      <c r="AE25" s="1" t="s">
        <v>93</v>
      </c>
      <c r="AF25" s="15">
        <v>22</v>
      </c>
      <c r="AG25" s="15">
        <v>16</v>
      </c>
      <c r="AH25" s="15">
        <v>6</v>
      </c>
      <c r="AI25" s="13">
        <v>41.727272727272727</v>
      </c>
      <c r="AJ25" s="13">
        <v>59</v>
      </c>
      <c r="AK25" s="13">
        <v>59</v>
      </c>
      <c r="AL25" s="13">
        <v>31</v>
      </c>
      <c r="AM25" s="14">
        <v>9</v>
      </c>
      <c r="AN25" s="14">
        <v>9</v>
      </c>
      <c r="AO25" s="3">
        <f t="shared" si="5"/>
        <v>1</v>
      </c>
      <c r="AP25" s="14">
        <v>0</v>
      </c>
      <c r="AQ25" s="14">
        <v>22</v>
      </c>
      <c r="AR25" s="3">
        <f t="shared" si="0"/>
        <v>0</v>
      </c>
      <c r="AS25" s="1">
        <v>0</v>
      </c>
      <c r="AT25" s="1">
        <v>1</v>
      </c>
      <c r="AU25" s="1">
        <v>2</v>
      </c>
      <c r="AV25" s="1">
        <v>4</v>
      </c>
      <c r="AW25" s="1">
        <v>0</v>
      </c>
      <c r="AX25" s="1">
        <v>0</v>
      </c>
      <c r="AY25" s="1">
        <v>5</v>
      </c>
      <c r="AZ25" s="1">
        <f t="shared" si="1"/>
        <v>12</v>
      </c>
    </row>
    <row r="26" spans="1:52" ht="15.75" customHeight="1" x14ac:dyDescent="0.3">
      <c r="A26" s="1" t="s">
        <v>188</v>
      </c>
      <c r="B26" s="2" t="s">
        <v>189</v>
      </c>
      <c r="C26" s="2">
        <v>260000008</v>
      </c>
      <c r="D26" s="1" t="s">
        <v>113</v>
      </c>
      <c r="E26" s="1" t="s">
        <v>114</v>
      </c>
      <c r="F26" s="1" t="s">
        <v>67</v>
      </c>
      <c r="G26" s="1" t="s">
        <v>68</v>
      </c>
      <c r="H26" s="1" t="s">
        <v>69</v>
      </c>
      <c r="I26" s="1" t="s">
        <v>70</v>
      </c>
      <c r="J26" s="1" t="s">
        <v>71</v>
      </c>
      <c r="K26" s="1">
        <v>10</v>
      </c>
      <c r="L26" s="1" t="s">
        <v>115</v>
      </c>
      <c r="M26" s="1" t="s">
        <v>73</v>
      </c>
      <c r="N26" s="1" t="s">
        <v>74</v>
      </c>
      <c r="O26" s="1" t="s">
        <v>74</v>
      </c>
      <c r="P26" s="1" t="s">
        <v>8</v>
      </c>
      <c r="Q26" s="1" t="s">
        <v>80</v>
      </c>
      <c r="R26" s="1" t="s">
        <v>168</v>
      </c>
      <c r="S26" s="2"/>
      <c r="X26" s="1">
        <v>23</v>
      </c>
      <c r="Y26" s="1">
        <v>23</v>
      </c>
      <c r="Z26" s="1">
        <v>11</v>
      </c>
      <c r="AA26" s="1">
        <v>13</v>
      </c>
      <c r="AB26" s="1">
        <v>20</v>
      </c>
      <c r="AC26" s="1">
        <v>22</v>
      </c>
      <c r="AD26" s="1">
        <v>10</v>
      </c>
      <c r="AE26" s="1" t="s">
        <v>77</v>
      </c>
      <c r="AF26" s="12">
        <v>20</v>
      </c>
      <c r="AG26" s="12">
        <v>7</v>
      </c>
      <c r="AH26" s="12">
        <v>13</v>
      </c>
      <c r="AI26" s="13">
        <v>41.75</v>
      </c>
      <c r="AJ26" s="13">
        <v>66</v>
      </c>
      <c r="AK26" s="13">
        <v>29</v>
      </c>
      <c r="AL26" s="13">
        <v>9.5138403336789725</v>
      </c>
      <c r="AM26" s="14">
        <v>31</v>
      </c>
      <c r="AN26" s="14">
        <v>10</v>
      </c>
      <c r="AO26" s="3">
        <f t="shared" si="5"/>
        <v>0.32258064516129031</v>
      </c>
      <c r="AP26" s="14">
        <v>1</v>
      </c>
      <c r="AQ26" s="14">
        <v>19</v>
      </c>
      <c r="AR26" s="3">
        <f t="shared" si="0"/>
        <v>5.2631578947368418E-2</v>
      </c>
      <c r="AS26" s="1">
        <v>0</v>
      </c>
      <c r="AT26" s="1">
        <v>0</v>
      </c>
      <c r="AU26" s="1">
        <v>4</v>
      </c>
      <c r="AV26" s="1">
        <v>0</v>
      </c>
      <c r="AW26" s="1">
        <v>0</v>
      </c>
      <c r="AX26" s="1">
        <v>0</v>
      </c>
      <c r="AY26" s="1">
        <v>7</v>
      </c>
      <c r="AZ26" s="1">
        <f t="shared" si="1"/>
        <v>11</v>
      </c>
    </row>
    <row r="27" spans="1:52" ht="15.75" customHeight="1" x14ac:dyDescent="0.3">
      <c r="A27" s="1" t="s">
        <v>190</v>
      </c>
      <c r="B27" s="2" t="s">
        <v>191</v>
      </c>
      <c r="C27" s="2">
        <v>160000003</v>
      </c>
      <c r="D27" s="1" t="s">
        <v>103</v>
      </c>
      <c r="E27" s="1" t="s">
        <v>104</v>
      </c>
      <c r="F27" s="1" t="s">
        <v>67</v>
      </c>
      <c r="G27" s="1" t="s">
        <v>86</v>
      </c>
      <c r="H27" s="1" t="s">
        <v>87</v>
      </c>
      <c r="I27" s="1" t="s">
        <v>70</v>
      </c>
      <c r="J27" s="1" t="s">
        <v>105</v>
      </c>
      <c r="K27" s="1">
        <v>8</v>
      </c>
      <c r="L27" s="1" t="s">
        <v>106</v>
      </c>
      <c r="M27" s="1" t="s">
        <v>107</v>
      </c>
      <c r="N27" s="1" t="s">
        <v>106</v>
      </c>
      <c r="O27" s="1" t="s">
        <v>108</v>
      </c>
      <c r="P27" s="1" t="s">
        <v>8</v>
      </c>
      <c r="Q27" s="1" t="s">
        <v>80</v>
      </c>
      <c r="R27" s="1" t="s">
        <v>192</v>
      </c>
      <c r="S27" s="2"/>
      <c r="T27" s="1">
        <v>52</v>
      </c>
      <c r="AE27" s="1" t="s">
        <v>110</v>
      </c>
      <c r="AF27" s="12">
        <v>104</v>
      </c>
      <c r="AG27" s="12">
        <v>62</v>
      </c>
      <c r="AH27" s="12">
        <v>42</v>
      </c>
      <c r="AI27" s="12">
        <v>41.942307692307693</v>
      </c>
      <c r="AJ27" s="12">
        <v>67</v>
      </c>
      <c r="AK27" s="12">
        <v>28</v>
      </c>
      <c r="AL27" s="12">
        <v>10.333118518248654</v>
      </c>
      <c r="AM27" s="14">
        <v>18</v>
      </c>
      <c r="AN27" s="14">
        <v>18</v>
      </c>
      <c r="AO27" s="3">
        <f t="shared" si="5"/>
        <v>1</v>
      </c>
      <c r="AP27" s="14">
        <v>0</v>
      </c>
      <c r="AQ27" s="14">
        <v>104</v>
      </c>
      <c r="AR27" s="3">
        <f t="shared" si="0"/>
        <v>0</v>
      </c>
      <c r="AZ27" s="1">
        <f t="shared" si="1"/>
        <v>0</v>
      </c>
    </row>
    <row r="28" spans="1:52" ht="15.75" customHeight="1" x14ac:dyDescent="0.3">
      <c r="A28" s="1" t="s">
        <v>193</v>
      </c>
      <c r="B28" s="2" t="s">
        <v>194</v>
      </c>
      <c r="C28" s="2">
        <v>160000001</v>
      </c>
      <c r="D28" s="1" t="s">
        <v>123</v>
      </c>
      <c r="E28" s="1" t="s">
        <v>124</v>
      </c>
      <c r="F28" s="1" t="s">
        <v>67</v>
      </c>
      <c r="G28" s="1" t="s">
        <v>86</v>
      </c>
      <c r="H28" s="1" t="s">
        <v>87</v>
      </c>
      <c r="I28" s="1" t="s">
        <v>70</v>
      </c>
      <c r="J28" s="1" t="s">
        <v>125</v>
      </c>
      <c r="K28" s="1">
        <v>10</v>
      </c>
      <c r="L28" s="1" t="s">
        <v>74</v>
      </c>
      <c r="M28" s="1" t="s">
        <v>73</v>
      </c>
      <c r="N28" s="1" t="s">
        <v>74</v>
      </c>
      <c r="O28" s="1" t="s">
        <v>74</v>
      </c>
      <c r="P28" s="1" t="s">
        <v>8</v>
      </c>
      <c r="Q28" s="1" t="s">
        <v>195</v>
      </c>
      <c r="R28" s="1" t="s">
        <v>196</v>
      </c>
      <c r="S28" s="2"/>
      <c r="T28" s="1">
        <v>7</v>
      </c>
      <c r="U28" s="1">
        <v>8</v>
      </c>
      <c r="V28" s="1">
        <v>15</v>
      </c>
      <c r="W28" s="1">
        <v>13</v>
      </c>
      <c r="Y28" s="1">
        <v>11</v>
      </c>
      <c r="Z28" s="1">
        <v>8</v>
      </c>
      <c r="AC28" s="1">
        <v>3</v>
      </c>
      <c r="AD28" s="1">
        <v>2</v>
      </c>
      <c r="AE28" s="1" t="s">
        <v>93</v>
      </c>
      <c r="AF28" s="15">
        <v>6</v>
      </c>
      <c r="AG28" s="15">
        <v>4</v>
      </c>
      <c r="AH28" s="15">
        <v>2</v>
      </c>
      <c r="AI28" s="13">
        <v>42</v>
      </c>
      <c r="AJ28" s="13">
        <v>46</v>
      </c>
      <c r="AK28" s="13">
        <v>46</v>
      </c>
      <c r="AL28" s="13">
        <v>36</v>
      </c>
      <c r="AM28" s="14"/>
      <c r="AN28" s="14"/>
      <c r="AO28" s="3"/>
      <c r="AP28" s="14">
        <v>0</v>
      </c>
      <c r="AQ28" s="14">
        <v>6</v>
      </c>
      <c r="AR28" s="3">
        <f t="shared" si="0"/>
        <v>0</v>
      </c>
      <c r="AS28" s="1">
        <v>2</v>
      </c>
      <c r="AT28" s="1">
        <v>4</v>
      </c>
      <c r="AU28" s="1">
        <v>1</v>
      </c>
      <c r="AV28" s="1">
        <v>4</v>
      </c>
      <c r="AW28" s="1">
        <v>0</v>
      </c>
      <c r="AX28" s="1">
        <v>1</v>
      </c>
      <c r="AY28" s="1">
        <v>0</v>
      </c>
      <c r="AZ28" s="1">
        <f t="shared" si="1"/>
        <v>12</v>
      </c>
    </row>
    <row r="29" spans="1:52" ht="15.75" customHeight="1" x14ac:dyDescent="0.3">
      <c r="A29" s="1" t="s">
        <v>197</v>
      </c>
      <c r="B29" s="2" t="s">
        <v>198</v>
      </c>
      <c r="C29" s="2">
        <v>260000008</v>
      </c>
      <c r="D29" s="1" t="s">
        <v>113</v>
      </c>
      <c r="E29" s="1" t="s">
        <v>114</v>
      </c>
      <c r="F29" s="1" t="s">
        <v>67</v>
      </c>
      <c r="G29" s="1" t="s">
        <v>68</v>
      </c>
      <c r="H29" s="1" t="s">
        <v>69</v>
      </c>
      <c r="I29" s="1" t="s">
        <v>70</v>
      </c>
      <c r="J29" s="1" t="s">
        <v>71</v>
      </c>
      <c r="K29" s="1">
        <v>10</v>
      </c>
      <c r="L29" s="1" t="s">
        <v>115</v>
      </c>
      <c r="M29" s="1" t="s">
        <v>73</v>
      </c>
      <c r="N29" s="1" t="s">
        <v>74</v>
      </c>
      <c r="O29" s="1" t="s">
        <v>74</v>
      </c>
      <c r="P29" s="1" t="s">
        <v>8</v>
      </c>
      <c r="Q29" s="1" t="s">
        <v>80</v>
      </c>
      <c r="R29" s="1" t="s">
        <v>165</v>
      </c>
      <c r="S29" s="2"/>
      <c r="X29" s="1">
        <v>11</v>
      </c>
      <c r="Y29" s="1">
        <v>9</v>
      </c>
      <c r="Z29" s="1">
        <v>11</v>
      </c>
      <c r="AA29" s="1">
        <v>11</v>
      </c>
      <c r="AB29" s="1">
        <v>8</v>
      </c>
      <c r="AC29" s="1">
        <v>7</v>
      </c>
      <c r="AD29" s="1">
        <v>6</v>
      </c>
      <c r="AE29" s="1" t="s">
        <v>77</v>
      </c>
      <c r="AF29" s="12">
        <v>8</v>
      </c>
      <c r="AG29" s="12">
        <v>1</v>
      </c>
      <c r="AH29" s="12">
        <v>7</v>
      </c>
      <c r="AI29" s="13">
        <v>42.125</v>
      </c>
      <c r="AJ29" s="13">
        <v>45</v>
      </c>
      <c r="AK29" s="13">
        <v>37</v>
      </c>
      <c r="AL29" s="13">
        <v>3.2705394924123103</v>
      </c>
      <c r="AM29" s="14">
        <v>15</v>
      </c>
      <c r="AN29" s="14">
        <v>2</v>
      </c>
      <c r="AO29" s="3">
        <f t="shared" ref="AO29:AO52" si="6">AN29/AM29</f>
        <v>0.13333333333333333</v>
      </c>
      <c r="AP29" s="14">
        <v>0</v>
      </c>
      <c r="AQ29" s="14">
        <v>8</v>
      </c>
      <c r="AR29" s="3">
        <f t="shared" si="0"/>
        <v>0</v>
      </c>
      <c r="AZ29" s="1">
        <f t="shared" si="1"/>
        <v>0</v>
      </c>
    </row>
    <row r="30" spans="1:52" ht="15.75" customHeight="1" x14ac:dyDescent="0.3">
      <c r="A30" s="1" t="s">
        <v>199</v>
      </c>
      <c r="B30" s="2" t="s">
        <v>200</v>
      </c>
      <c r="C30" s="2">
        <v>260000008</v>
      </c>
      <c r="D30" s="1" t="s">
        <v>113</v>
      </c>
      <c r="E30" s="1" t="s">
        <v>114</v>
      </c>
      <c r="F30" s="1" t="s">
        <v>67</v>
      </c>
      <c r="G30" s="1" t="s">
        <v>68</v>
      </c>
      <c r="H30" s="1" t="s">
        <v>69</v>
      </c>
      <c r="I30" s="1" t="s">
        <v>70</v>
      </c>
      <c r="J30" s="1" t="s">
        <v>71</v>
      </c>
      <c r="K30" s="1">
        <v>10</v>
      </c>
      <c r="L30" s="1" t="s">
        <v>115</v>
      </c>
      <c r="M30" s="1" t="s">
        <v>73</v>
      </c>
      <c r="N30" s="1" t="s">
        <v>74</v>
      </c>
      <c r="O30" s="1" t="s">
        <v>74</v>
      </c>
      <c r="P30" s="1" t="s">
        <v>8</v>
      </c>
      <c r="Q30" s="1" t="s">
        <v>136</v>
      </c>
      <c r="R30" s="1" t="s">
        <v>201</v>
      </c>
      <c r="S30" s="2"/>
      <c r="X30" s="1">
        <v>22</v>
      </c>
      <c r="Y30" s="1">
        <v>20</v>
      </c>
      <c r="Z30" s="1">
        <v>23</v>
      </c>
      <c r="AA30" s="1">
        <v>16</v>
      </c>
      <c r="AB30" s="1">
        <v>18</v>
      </c>
      <c r="AC30" s="1">
        <v>14</v>
      </c>
      <c r="AD30" s="1">
        <v>17</v>
      </c>
      <c r="AE30" s="1" t="s">
        <v>77</v>
      </c>
      <c r="AF30" s="12">
        <v>18</v>
      </c>
      <c r="AG30" s="12">
        <v>2</v>
      </c>
      <c r="AH30" s="12">
        <v>16</v>
      </c>
      <c r="AI30" s="13">
        <v>42.722222222222221</v>
      </c>
      <c r="AJ30" s="13">
        <v>69</v>
      </c>
      <c r="AK30" s="13">
        <v>32</v>
      </c>
      <c r="AL30" s="13">
        <v>8.518530358995271</v>
      </c>
      <c r="AM30" s="14">
        <v>13</v>
      </c>
      <c r="AN30" s="14">
        <v>9</v>
      </c>
      <c r="AO30" s="3">
        <f t="shared" si="6"/>
        <v>0.69230769230769229</v>
      </c>
      <c r="AP30" s="14">
        <v>2</v>
      </c>
      <c r="AQ30" s="14">
        <v>16</v>
      </c>
      <c r="AR30" s="3">
        <f t="shared" si="0"/>
        <v>0.125</v>
      </c>
      <c r="AZ30" s="1">
        <f t="shared" si="1"/>
        <v>0</v>
      </c>
    </row>
    <row r="31" spans="1:52" ht="15.75" customHeight="1" x14ac:dyDescent="0.3">
      <c r="A31" s="1" t="s">
        <v>202</v>
      </c>
      <c r="B31" s="2" t="s">
        <v>203</v>
      </c>
      <c r="C31" s="2">
        <v>160000001</v>
      </c>
      <c r="D31" s="1" t="s">
        <v>123</v>
      </c>
      <c r="E31" s="1" t="s">
        <v>124</v>
      </c>
      <c r="F31" s="1" t="s">
        <v>67</v>
      </c>
      <c r="G31" s="1" t="s">
        <v>86</v>
      </c>
      <c r="H31" s="1" t="s">
        <v>87</v>
      </c>
      <c r="I31" s="1" t="s">
        <v>70</v>
      </c>
      <c r="J31" s="1" t="s">
        <v>125</v>
      </c>
      <c r="K31" s="1">
        <v>10</v>
      </c>
      <c r="L31" s="1" t="s">
        <v>74</v>
      </c>
      <c r="M31" s="1" t="s">
        <v>73</v>
      </c>
      <c r="N31" s="1" t="s">
        <v>74</v>
      </c>
      <c r="O31" s="1" t="s">
        <v>74</v>
      </c>
      <c r="P31" s="1" t="s">
        <v>8</v>
      </c>
      <c r="Q31" s="1" t="s">
        <v>80</v>
      </c>
      <c r="R31" s="1" t="s">
        <v>204</v>
      </c>
      <c r="S31" s="2"/>
      <c r="T31" s="1">
        <v>132</v>
      </c>
      <c r="U31" s="1">
        <v>137</v>
      </c>
      <c r="V31" s="1">
        <v>137</v>
      </c>
      <c r="W31" s="1">
        <v>131</v>
      </c>
      <c r="Y31" s="1">
        <v>135</v>
      </c>
      <c r="Z31" s="1">
        <v>85</v>
      </c>
      <c r="AC31" s="1">
        <v>69</v>
      </c>
      <c r="AD31" s="1">
        <v>43</v>
      </c>
      <c r="AE31" s="1" t="s">
        <v>93</v>
      </c>
      <c r="AF31" s="12">
        <v>138</v>
      </c>
      <c r="AG31" s="12">
        <v>38</v>
      </c>
      <c r="AH31" s="12">
        <v>100</v>
      </c>
      <c r="AI31" s="13">
        <v>42.924242424242422</v>
      </c>
      <c r="AJ31" s="13">
        <v>61</v>
      </c>
      <c r="AK31" s="13">
        <v>61</v>
      </c>
      <c r="AL31" s="13">
        <v>29</v>
      </c>
      <c r="AM31" s="14">
        <v>53</v>
      </c>
      <c r="AN31" s="14">
        <v>53</v>
      </c>
      <c r="AO31" s="3">
        <f t="shared" si="6"/>
        <v>1</v>
      </c>
      <c r="AP31" s="14">
        <v>2</v>
      </c>
      <c r="AQ31" s="14">
        <v>130</v>
      </c>
      <c r="AR31" s="3">
        <f t="shared" si="0"/>
        <v>1.5384615384615385E-2</v>
      </c>
      <c r="AS31" s="1">
        <v>0</v>
      </c>
      <c r="AT31" s="1">
        <v>42</v>
      </c>
      <c r="AU31" s="1">
        <v>0</v>
      </c>
      <c r="AV31" s="1">
        <v>45</v>
      </c>
      <c r="AW31" s="1">
        <v>0</v>
      </c>
      <c r="AX31" s="1">
        <v>0</v>
      </c>
      <c r="AY31" s="1">
        <v>34</v>
      </c>
      <c r="AZ31" s="1">
        <f t="shared" si="1"/>
        <v>121</v>
      </c>
    </row>
    <row r="32" spans="1:52" ht="15.75" customHeight="1" x14ac:dyDescent="0.3">
      <c r="A32" s="1" t="s">
        <v>205</v>
      </c>
      <c r="B32" s="2" t="s">
        <v>206</v>
      </c>
      <c r="C32" s="2">
        <v>160000007</v>
      </c>
      <c r="D32" s="1" t="s">
        <v>129</v>
      </c>
      <c r="E32" s="1" t="s">
        <v>130</v>
      </c>
      <c r="F32" s="1" t="s">
        <v>67</v>
      </c>
      <c r="G32" s="1" t="s">
        <v>86</v>
      </c>
      <c r="H32" s="1" t="s">
        <v>87</v>
      </c>
      <c r="I32" s="1" t="s">
        <v>70</v>
      </c>
      <c r="J32" s="1" t="s">
        <v>131</v>
      </c>
      <c r="K32" s="1">
        <v>8</v>
      </c>
      <c r="L32" s="1" t="s">
        <v>132</v>
      </c>
      <c r="M32" s="1" t="s">
        <v>73</v>
      </c>
      <c r="N32" s="1" t="s">
        <v>74</v>
      </c>
      <c r="O32" s="1" t="s">
        <v>74</v>
      </c>
      <c r="P32" s="1" t="s">
        <v>8</v>
      </c>
      <c r="Q32" s="1" t="s">
        <v>80</v>
      </c>
      <c r="R32" s="1" t="s">
        <v>207</v>
      </c>
      <c r="S32" s="2">
        <v>2015</v>
      </c>
      <c r="U32" s="1">
        <v>12</v>
      </c>
      <c r="V32" s="1">
        <v>17</v>
      </c>
      <c r="W32" s="1">
        <v>32</v>
      </c>
      <c r="X32" s="1">
        <v>25</v>
      </c>
      <c r="Y32" s="1">
        <v>17</v>
      </c>
      <c r="Z32" s="1">
        <v>14</v>
      </c>
      <c r="AA32" s="1">
        <v>10</v>
      </c>
      <c r="AB32" s="1">
        <v>9</v>
      </c>
      <c r="AC32" s="1">
        <v>18</v>
      </c>
      <c r="AD32" s="1">
        <v>18</v>
      </c>
      <c r="AE32" s="1" t="s">
        <v>77</v>
      </c>
      <c r="AF32" s="12">
        <v>9</v>
      </c>
      <c r="AG32" s="12">
        <v>4</v>
      </c>
      <c r="AH32" s="12">
        <v>5</v>
      </c>
      <c r="AI32" s="13">
        <v>43</v>
      </c>
      <c r="AJ32" s="13">
        <v>57</v>
      </c>
      <c r="AK32" s="13">
        <v>34</v>
      </c>
      <c r="AL32" s="13">
        <v>7.745966692414834</v>
      </c>
      <c r="AM32" s="14">
        <v>17</v>
      </c>
      <c r="AN32" s="14">
        <v>13</v>
      </c>
      <c r="AO32" s="3">
        <f t="shared" si="6"/>
        <v>0.76470588235294112</v>
      </c>
      <c r="AP32" s="14">
        <v>1</v>
      </c>
      <c r="AQ32" s="14">
        <v>8</v>
      </c>
      <c r="AR32" s="3">
        <f t="shared" si="0"/>
        <v>0.125</v>
      </c>
      <c r="AZ32" s="1">
        <f t="shared" si="1"/>
        <v>0</v>
      </c>
    </row>
    <row r="33" spans="1:52" ht="15.75" customHeight="1" x14ac:dyDescent="0.3">
      <c r="A33" s="1" t="s">
        <v>208</v>
      </c>
      <c r="B33" s="2" t="s">
        <v>209</v>
      </c>
      <c r="C33" s="2">
        <v>260000008</v>
      </c>
      <c r="D33" s="1" t="s">
        <v>113</v>
      </c>
      <c r="E33" s="1" t="s">
        <v>114</v>
      </c>
      <c r="F33" s="1" t="s">
        <v>67</v>
      </c>
      <c r="G33" s="1" t="s">
        <v>68</v>
      </c>
      <c r="H33" s="1" t="s">
        <v>69</v>
      </c>
      <c r="I33" s="1" t="s">
        <v>70</v>
      </c>
      <c r="J33" s="1" t="s">
        <v>71</v>
      </c>
      <c r="K33" s="1">
        <v>10</v>
      </c>
      <c r="L33" s="1" t="s">
        <v>115</v>
      </c>
      <c r="M33" s="1" t="s">
        <v>73</v>
      </c>
      <c r="N33" s="1" t="s">
        <v>74</v>
      </c>
      <c r="O33" s="1" t="s">
        <v>74</v>
      </c>
      <c r="P33" s="1" t="s">
        <v>8</v>
      </c>
      <c r="Q33" s="1" t="s">
        <v>80</v>
      </c>
      <c r="R33" s="1" t="s">
        <v>210</v>
      </c>
      <c r="S33" s="2"/>
      <c r="X33" s="1">
        <v>25</v>
      </c>
      <c r="Y33" s="1">
        <v>18</v>
      </c>
      <c r="Z33" s="1">
        <v>19</v>
      </c>
      <c r="AA33" s="1">
        <v>20</v>
      </c>
      <c r="AB33" s="1">
        <v>26</v>
      </c>
      <c r="AC33" s="1">
        <v>27</v>
      </c>
      <c r="AD33" s="1">
        <v>25</v>
      </c>
      <c r="AE33" s="1" t="s">
        <v>77</v>
      </c>
      <c r="AF33" s="12">
        <v>26</v>
      </c>
      <c r="AG33" s="12">
        <v>13</v>
      </c>
      <c r="AH33" s="12">
        <v>13</v>
      </c>
      <c r="AI33" s="13">
        <v>43.115384615384613</v>
      </c>
      <c r="AJ33" s="13">
        <v>69</v>
      </c>
      <c r="AK33" s="13">
        <v>32</v>
      </c>
      <c r="AL33" s="13">
        <v>10.599346859413261</v>
      </c>
      <c r="AM33" s="14">
        <v>9</v>
      </c>
      <c r="AN33" s="14">
        <v>5</v>
      </c>
      <c r="AO33" s="3">
        <f t="shared" si="6"/>
        <v>0.55555555555555558</v>
      </c>
      <c r="AP33" s="14">
        <v>0</v>
      </c>
      <c r="AQ33" s="14">
        <v>26</v>
      </c>
      <c r="AR33" s="3">
        <f t="shared" si="0"/>
        <v>0</v>
      </c>
      <c r="AZ33" s="1">
        <f t="shared" si="1"/>
        <v>0</v>
      </c>
    </row>
    <row r="34" spans="1:52" ht="15.75" customHeight="1" x14ac:dyDescent="0.3">
      <c r="A34" s="1" t="s">
        <v>211</v>
      </c>
      <c r="B34" s="2" t="s">
        <v>212</v>
      </c>
      <c r="C34" s="2">
        <v>160000001</v>
      </c>
      <c r="D34" s="1" t="s">
        <v>123</v>
      </c>
      <c r="E34" s="1" t="s">
        <v>124</v>
      </c>
      <c r="F34" s="1" t="s">
        <v>67</v>
      </c>
      <c r="G34" s="1" t="s">
        <v>86</v>
      </c>
      <c r="H34" s="1" t="s">
        <v>87</v>
      </c>
      <c r="I34" s="1" t="s">
        <v>70</v>
      </c>
      <c r="J34" s="1" t="s">
        <v>125</v>
      </c>
      <c r="K34" s="1">
        <v>10</v>
      </c>
      <c r="L34" s="1" t="s">
        <v>74</v>
      </c>
      <c r="M34" s="1" t="s">
        <v>73</v>
      </c>
      <c r="N34" s="1" t="s">
        <v>74</v>
      </c>
      <c r="O34" s="1" t="s">
        <v>74</v>
      </c>
      <c r="P34" s="1" t="s">
        <v>8</v>
      </c>
      <c r="Q34" s="1" t="s">
        <v>75</v>
      </c>
      <c r="R34" s="1" t="s">
        <v>213</v>
      </c>
      <c r="S34" s="2"/>
      <c r="T34" s="1">
        <v>13</v>
      </c>
      <c r="U34" s="1">
        <v>14</v>
      </c>
      <c r="V34" s="1">
        <v>8</v>
      </c>
      <c r="W34" s="1">
        <v>17</v>
      </c>
      <c r="Y34" s="1">
        <v>8</v>
      </c>
      <c r="Z34" s="1">
        <v>8</v>
      </c>
      <c r="AC34" s="1">
        <v>8</v>
      </c>
      <c r="AD34" s="1">
        <v>10</v>
      </c>
      <c r="AE34" s="1" t="s">
        <v>93</v>
      </c>
      <c r="AF34" s="15">
        <v>16</v>
      </c>
      <c r="AG34" s="15">
        <v>14</v>
      </c>
      <c r="AH34" s="15">
        <v>2</v>
      </c>
      <c r="AI34" s="13">
        <v>43.25</v>
      </c>
      <c r="AJ34" s="13">
        <v>51</v>
      </c>
      <c r="AK34" s="13">
        <v>51</v>
      </c>
      <c r="AL34" s="13">
        <v>35</v>
      </c>
      <c r="AM34" s="14">
        <v>12</v>
      </c>
      <c r="AN34" s="14">
        <v>12</v>
      </c>
      <c r="AO34" s="3">
        <f t="shared" si="6"/>
        <v>1</v>
      </c>
      <c r="AP34" s="14">
        <v>0</v>
      </c>
      <c r="AQ34" s="14">
        <v>16</v>
      </c>
      <c r="AR34" s="3">
        <f t="shared" si="0"/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7</v>
      </c>
      <c r="AY34" s="1">
        <v>0</v>
      </c>
      <c r="AZ34" s="1">
        <f t="shared" si="1"/>
        <v>7</v>
      </c>
    </row>
    <row r="35" spans="1:52" ht="15.75" customHeight="1" x14ac:dyDescent="0.3">
      <c r="A35" s="1" t="s">
        <v>214</v>
      </c>
      <c r="B35" s="2" t="s">
        <v>215</v>
      </c>
      <c r="C35" s="2">
        <v>160000007</v>
      </c>
      <c r="D35" s="1" t="s">
        <v>129</v>
      </c>
      <c r="E35" s="1" t="s">
        <v>130</v>
      </c>
      <c r="F35" s="1" t="s">
        <v>67</v>
      </c>
      <c r="G35" s="1" t="s">
        <v>86</v>
      </c>
      <c r="H35" s="1" t="s">
        <v>87</v>
      </c>
      <c r="I35" s="1" t="s">
        <v>70</v>
      </c>
      <c r="J35" s="1" t="s">
        <v>131</v>
      </c>
      <c r="K35" s="1">
        <v>8</v>
      </c>
      <c r="L35" s="1" t="s">
        <v>132</v>
      </c>
      <c r="M35" s="1" t="s">
        <v>73</v>
      </c>
      <c r="N35" s="1" t="s">
        <v>74</v>
      </c>
      <c r="O35" s="1" t="s">
        <v>74</v>
      </c>
      <c r="P35" s="1" t="s">
        <v>8</v>
      </c>
      <c r="Q35" s="1" t="s">
        <v>90</v>
      </c>
      <c r="R35" s="1" t="s">
        <v>216</v>
      </c>
      <c r="S35" s="2">
        <v>2015</v>
      </c>
      <c r="U35" s="1">
        <v>21</v>
      </c>
      <c r="V35" s="1">
        <v>24</v>
      </c>
      <c r="W35" s="1">
        <v>24</v>
      </c>
      <c r="X35" s="1">
        <v>15</v>
      </c>
      <c r="Y35" s="1">
        <v>10</v>
      </c>
      <c r="Z35" s="1">
        <v>11</v>
      </c>
      <c r="AA35" s="1">
        <v>8</v>
      </c>
      <c r="AB35" s="1">
        <v>8</v>
      </c>
      <c r="AC35" s="1">
        <v>6</v>
      </c>
      <c r="AD35" s="1">
        <v>6</v>
      </c>
      <c r="AE35" s="1" t="s">
        <v>77</v>
      </c>
      <c r="AF35" s="12">
        <v>8</v>
      </c>
      <c r="AG35" s="12">
        <v>2</v>
      </c>
      <c r="AH35" s="12">
        <v>6</v>
      </c>
      <c r="AI35" s="13">
        <v>43.25</v>
      </c>
      <c r="AJ35" s="13">
        <v>50</v>
      </c>
      <c r="AK35" s="13">
        <v>35</v>
      </c>
      <c r="AL35" s="13">
        <v>5.7008771254956896</v>
      </c>
      <c r="AM35" s="14">
        <v>2</v>
      </c>
      <c r="AN35" s="14">
        <v>1</v>
      </c>
      <c r="AO35" s="3">
        <f t="shared" si="6"/>
        <v>0.5</v>
      </c>
      <c r="AP35" s="14">
        <v>0</v>
      </c>
      <c r="AQ35" s="14">
        <v>8</v>
      </c>
      <c r="AR35" s="3">
        <f t="shared" si="0"/>
        <v>0</v>
      </c>
      <c r="AZ35" s="1">
        <f t="shared" si="1"/>
        <v>0</v>
      </c>
    </row>
    <row r="36" spans="1:52" ht="15.75" customHeight="1" x14ac:dyDescent="0.3">
      <c r="A36" s="1" t="s">
        <v>217</v>
      </c>
      <c r="B36" s="2" t="s">
        <v>218</v>
      </c>
      <c r="C36" s="2">
        <v>260000008</v>
      </c>
      <c r="D36" s="1" t="s">
        <v>113</v>
      </c>
      <c r="E36" s="1" t="s">
        <v>114</v>
      </c>
      <c r="F36" s="1" t="s">
        <v>67</v>
      </c>
      <c r="G36" s="1" t="s">
        <v>68</v>
      </c>
      <c r="H36" s="1" t="s">
        <v>69</v>
      </c>
      <c r="I36" s="1" t="s">
        <v>70</v>
      </c>
      <c r="J36" s="1" t="s">
        <v>71</v>
      </c>
      <c r="K36" s="1">
        <v>10</v>
      </c>
      <c r="L36" s="1" t="s">
        <v>115</v>
      </c>
      <c r="M36" s="1" t="s">
        <v>73</v>
      </c>
      <c r="N36" s="1" t="s">
        <v>74</v>
      </c>
      <c r="O36" s="1" t="s">
        <v>74</v>
      </c>
      <c r="P36" s="1" t="s">
        <v>8</v>
      </c>
      <c r="Q36" s="1" t="s">
        <v>80</v>
      </c>
      <c r="R36" s="1" t="s">
        <v>219</v>
      </c>
      <c r="S36" s="2"/>
      <c r="X36" s="1">
        <v>25</v>
      </c>
      <c r="Y36" s="1">
        <v>15</v>
      </c>
      <c r="Z36" s="1">
        <v>29</v>
      </c>
      <c r="AA36" s="1">
        <v>72</v>
      </c>
      <c r="AB36" s="1">
        <v>23</v>
      </c>
      <c r="AC36" s="1">
        <v>31</v>
      </c>
      <c r="AD36" s="1">
        <v>33</v>
      </c>
      <c r="AE36" s="1" t="s">
        <v>77</v>
      </c>
      <c r="AF36" s="12">
        <v>23</v>
      </c>
      <c r="AG36" s="12">
        <v>3</v>
      </c>
      <c r="AH36" s="12">
        <v>20</v>
      </c>
      <c r="AI36" s="13">
        <v>43.347826086956523</v>
      </c>
      <c r="AJ36" s="13">
        <v>55</v>
      </c>
      <c r="AK36" s="13">
        <v>30</v>
      </c>
      <c r="AL36" s="13">
        <v>7.2839093877106471</v>
      </c>
      <c r="AM36" s="14">
        <v>40</v>
      </c>
      <c r="AN36" s="14">
        <v>40</v>
      </c>
      <c r="AO36" s="3">
        <f t="shared" si="6"/>
        <v>1</v>
      </c>
      <c r="AP36" s="14">
        <v>6</v>
      </c>
      <c r="AQ36" s="14">
        <v>17</v>
      </c>
      <c r="AR36" s="3">
        <f t="shared" si="0"/>
        <v>0.35294117647058826</v>
      </c>
      <c r="AS36" s="1">
        <v>1</v>
      </c>
      <c r="AT36" s="1">
        <v>1</v>
      </c>
      <c r="AU36" s="1">
        <v>1</v>
      </c>
      <c r="AV36" s="1">
        <v>1</v>
      </c>
      <c r="AW36" s="1">
        <v>0</v>
      </c>
      <c r="AX36" s="1">
        <v>2</v>
      </c>
      <c r="AY36" s="1">
        <v>1</v>
      </c>
      <c r="AZ36" s="1">
        <f t="shared" si="1"/>
        <v>7</v>
      </c>
    </row>
    <row r="37" spans="1:52" ht="15.75" customHeight="1" x14ac:dyDescent="0.3">
      <c r="A37" s="1" t="s">
        <v>220</v>
      </c>
      <c r="B37" s="2" t="s">
        <v>221</v>
      </c>
      <c r="C37" s="2">
        <v>160000006</v>
      </c>
      <c r="D37" s="1" t="s">
        <v>84</v>
      </c>
      <c r="E37" s="1" t="s">
        <v>85</v>
      </c>
      <c r="F37" s="1" t="s">
        <v>67</v>
      </c>
      <c r="G37" s="1" t="s">
        <v>86</v>
      </c>
      <c r="H37" s="1" t="s">
        <v>87</v>
      </c>
      <c r="I37" s="1" t="s">
        <v>70</v>
      </c>
      <c r="J37" s="1" t="s">
        <v>88</v>
      </c>
      <c r="K37" s="1">
        <v>10</v>
      </c>
      <c r="L37" s="1" t="s">
        <v>89</v>
      </c>
      <c r="M37" s="1" t="s">
        <v>73</v>
      </c>
      <c r="N37" s="1" t="s">
        <v>74</v>
      </c>
      <c r="O37" s="1" t="s">
        <v>74</v>
      </c>
      <c r="P37" s="1" t="s">
        <v>8</v>
      </c>
      <c r="Q37" s="1" t="s">
        <v>90</v>
      </c>
      <c r="R37" s="1" t="s">
        <v>222</v>
      </c>
      <c r="S37" s="2"/>
      <c r="T37" s="1">
        <v>5</v>
      </c>
      <c r="AE37" s="1" t="s">
        <v>110</v>
      </c>
      <c r="AF37" s="12">
        <v>10</v>
      </c>
      <c r="AG37" s="12">
        <v>2</v>
      </c>
      <c r="AH37" s="12">
        <v>8</v>
      </c>
      <c r="AI37" s="12">
        <v>43.6</v>
      </c>
      <c r="AJ37" s="12">
        <v>55</v>
      </c>
      <c r="AK37" s="12">
        <v>34</v>
      </c>
      <c r="AL37" s="12">
        <v>8.1812794435426479</v>
      </c>
      <c r="AM37" s="14">
        <v>2</v>
      </c>
      <c r="AN37" s="14">
        <v>2</v>
      </c>
      <c r="AO37" s="3">
        <f t="shared" si="6"/>
        <v>1</v>
      </c>
      <c r="AP37" s="14">
        <v>0</v>
      </c>
      <c r="AQ37" s="14">
        <v>10</v>
      </c>
      <c r="AR37" s="3">
        <f t="shared" si="0"/>
        <v>0</v>
      </c>
      <c r="AZ37" s="1">
        <f t="shared" si="1"/>
        <v>0</v>
      </c>
    </row>
    <row r="38" spans="1:52" ht="15.75" customHeight="1" x14ac:dyDescent="0.3">
      <c r="A38" s="1" t="s">
        <v>223</v>
      </c>
      <c r="B38" s="2" t="s">
        <v>224</v>
      </c>
      <c r="C38" s="2">
        <v>260000014</v>
      </c>
      <c r="D38" s="1" t="s">
        <v>65</v>
      </c>
      <c r="E38" s="1" t="s">
        <v>66</v>
      </c>
      <c r="F38" s="1" t="s">
        <v>67</v>
      </c>
      <c r="G38" s="1" t="s">
        <v>68</v>
      </c>
      <c r="H38" s="1" t="s">
        <v>69</v>
      </c>
      <c r="I38" s="1" t="s">
        <v>70</v>
      </c>
      <c r="J38" s="1" t="s">
        <v>71</v>
      </c>
      <c r="K38" s="1">
        <v>10</v>
      </c>
      <c r="L38" s="1" t="s">
        <v>72</v>
      </c>
      <c r="M38" s="1" t="s">
        <v>73</v>
      </c>
      <c r="N38" s="1" t="s">
        <v>74</v>
      </c>
      <c r="O38" s="1" t="s">
        <v>74</v>
      </c>
      <c r="P38" s="1" t="s">
        <v>8</v>
      </c>
      <c r="Q38" s="1" t="s">
        <v>80</v>
      </c>
      <c r="R38" s="1" t="s">
        <v>225</v>
      </c>
      <c r="S38" s="2"/>
      <c r="U38" s="1">
        <v>19</v>
      </c>
      <c r="V38" s="1">
        <v>12</v>
      </c>
      <c r="Z38" s="1">
        <v>13</v>
      </c>
      <c r="AA38" s="1">
        <v>25</v>
      </c>
      <c r="AB38" s="1">
        <v>39</v>
      </c>
      <c r="AC38" s="1">
        <v>31</v>
      </c>
      <c r="AE38" s="1" t="s">
        <v>77</v>
      </c>
      <c r="AF38" s="12">
        <v>39</v>
      </c>
      <c r="AG38" s="12">
        <v>21</v>
      </c>
      <c r="AH38" s="12">
        <v>18</v>
      </c>
      <c r="AI38" s="13">
        <v>43.615384615384613</v>
      </c>
      <c r="AJ38" s="13">
        <v>68</v>
      </c>
      <c r="AK38" s="13">
        <v>27</v>
      </c>
      <c r="AL38" s="13">
        <v>10.363436192527992</v>
      </c>
      <c r="AM38" s="14">
        <v>24</v>
      </c>
      <c r="AN38" s="14">
        <v>24</v>
      </c>
      <c r="AO38" s="3">
        <f t="shared" si="6"/>
        <v>1</v>
      </c>
      <c r="AP38" s="14">
        <v>1</v>
      </c>
      <c r="AQ38" s="14">
        <v>36</v>
      </c>
      <c r="AR38" s="3">
        <f t="shared" si="0"/>
        <v>2.7777777777777776E-2</v>
      </c>
      <c r="AZ38" s="1">
        <f t="shared" si="1"/>
        <v>0</v>
      </c>
    </row>
    <row r="39" spans="1:52" ht="15.75" customHeight="1" x14ac:dyDescent="0.3">
      <c r="A39" s="1" t="s">
        <v>226</v>
      </c>
      <c r="B39" s="2" t="s">
        <v>227</v>
      </c>
      <c r="C39" s="2">
        <v>260000019</v>
      </c>
      <c r="D39" s="1" t="s">
        <v>96</v>
      </c>
      <c r="E39" s="1" t="s">
        <v>97</v>
      </c>
      <c r="F39" s="1" t="s">
        <v>67</v>
      </c>
      <c r="G39" s="1" t="s">
        <v>68</v>
      </c>
      <c r="H39" s="1" t="s">
        <v>69</v>
      </c>
      <c r="I39" s="1" t="s">
        <v>70</v>
      </c>
      <c r="J39" s="1" t="s">
        <v>98</v>
      </c>
      <c r="K39" s="1">
        <v>6</v>
      </c>
      <c r="L39" s="1" t="s">
        <v>99</v>
      </c>
      <c r="M39" s="1" t="s">
        <v>73</v>
      </c>
      <c r="N39" s="1" t="s">
        <v>74</v>
      </c>
      <c r="O39" s="1" t="s">
        <v>74</v>
      </c>
      <c r="P39" s="1" t="s">
        <v>8</v>
      </c>
      <c r="Q39" s="1" t="s">
        <v>80</v>
      </c>
      <c r="R39" s="1" t="s">
        <v>228</v>
      </c>
      <c r="S39" s="2"/>
      <c r="T39" s="1">
        <v>28</v>
      </c>
      <c r="U39" s="1">
        <v>24</v>
      </c>
      <c r="X39" s="1">
        <v>38</v>
      </c>
      <c r="Z39" s="1">
        <v>14</v>
      </c>
      <c r="AB39" s="1">
        <v>21</v>
      </c>
      <c r="AD39" s="1">
        <v>1</v>
      </c>
      <c r="AE39" s="1" t="s">
        <v>77</v>
      </c>
      <c r="AF39" s="12">
        <v>21</v>
      </c>
      <c r="AG39" s="12">
        <v>14</v>
      </c>
      <c r="AH39" s="12">
        <v>7</v>
      </c>
      <c r="AI39" s="13">
        <v>43.80952380952381</v>
      </c>
      <c r="AJ39" s="13">
        <v>58</v>
      </c>
      <c r="AK39" s="13">
        <v>27</v>
      </c>
      <c r="AL39" s="13">
        <v>9.1028514632451625</v>
      </c>
      <c r="AM39" s="14">
        <v>11</v>
      </c>
      <c r="AN39" s="14">
        <v>11</v>
      </c>
      <c r="AO39" s="3">
        <f t="shared" si="6"/>
        <v>1</v>
      </c>
      <c r="AP39" s="14">
        <v>18</v>
      </c>
      <c r="AQ39" s="14">
        <v>3</v>
      </c>
      <c r="AR39" s="3">
        <f t="shared" si="0"/>
        <v>6</v>
      </c>
      <c r="AS39" s="1">
        <v>0</v>
      </c>
      <c r="AT39" s="1">
        <v>27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f t="shared" si="1"/>
        <v>27</v>
      </c>
    </row>
    <row r="40" spans="1:52" ht="15.75" customHeight="1" x14ac:dyDescent="0.3">
      <c r="A40" s="1" t="s">
        <v>229</v>
      </c>
      <c r="B40" s="2" t="s">
        <v>230</v>
      </c>
      <c r="C40" s="2">
        <v>260000008</v>
      </c>
      <c r="D40" s="1" t="s">
        <v>113</v>
      </c>
      <c r="E40" s="1" t="s">
        <v>114</v>
      </c>
      <c r="F40" s="1" t="s">
        <v>67</v>
      </c>
      <c r="G40" s="1" t="s">
        <v>68</v>
      </c>
      <c r="H40" s="1" t="s">
        <v>69</v>
      </c>
      <c r="I40" s="1" t="s">
        <v>70</v>
      </c>
      <c r="J40" s="1" t="s">
        <v>71</v>
      </c>
      <c r="K40" s="1">
        <v>10</v>
      </c>
      <c r="L40" s="1" t="s">
        <v>115</v>
      </c>
      <c r="M40" s="1" t="s">
        <v>73</v>
      </c>
      <c r="N40" s="1" t="s">
        <v>74</v>
      </c>
      <c r="O40" s="1" t="s">
        <v>74</v>
      </c>
      <c r="P40" s="1" t="s">
        <v>8</v>
      </c>
      <c r="Q40" s="1" t="s">
        <v>80</v>
      </c>
      <c r="R40" s="1" t="s">
        <v>231</v>
      </c>
      <c r="S40" s="2"/>
      <c r="X40" s="1">
        <v>35</v>
      </c>
      <c r="Y40" s="1">
        <v>31</v>
      </c>
      <c r="Z40" s="1">
        <v>41</v>
      </c>
      <c r="AA40" s="1">
        <v>36</v>
      </c>
      <c r="AB40" s="1">
        <v>49</v>
      </c>
      <c r="AC40" s="1">
        <v>49</v>
      </c>
      <c r="AD40" s="1">
        <v>50</v>
      </c>
      <c r="AE40" s="1" t="s">
        <v>77</v>
      </c>
      <c r="AF40" s="12">
        <v>49</v>
      </c>
      <c r="AG40" s="12">
        <v>17</v>
      </c>
      <c r="AH40" s="12">
        <v>32</v>
      </c>
      <c r="AI40" s="13">
        <v>43.895833333333336</v>
      </c>
      <c r="AJ40" s="13">
        <v>67</v>
      </c>
      <c r="AK40" s="13">
        <v>29</v>
      </c>
      <c r="AL40" s="13">
        <v>9.2718736965066419</v>
      </c>
      <c r="AM40" s="14">
        <v>21</v>
      </c>
      <c r="AN40" s="14">
        <v>17</v>
      </c>
      <c r="AO40" s="3">
        <f t="shared" si="6"/>
        <v>0.80952380952380953</v>
      </c>
      <c r="AP40" s="14">
        <v>0</v>
      </c>
      <c r="AQ40" s="14">
        <v>48</v>
      </c>
      <c r="AR40" s="3">
        <f t="shared" si="0"/>
        <v>0</v>
      </c>
      <c r="AS40" s="1">
        <v>0</v>
      </c>
      <c r="AT40" s="1">
        <v>0</v>
      </c>
      <c r="AU40" s="1">
        <v>3</v>
      </c>
      <c r="AV40" s="1">
        <v>1</v>
      </c>
      <c r="AW40" s="1">
        <v>0</v>
      </c>
      <c r="AX40" s="1">
        <v>0</v>
      </c>
      <c r="AY40" s="1">
        <v>2</v>
      </c>
      <c r="AZ40" s="1">
        <f t="shared" si="1"/>
        <v>6</v>
      </c>
    </row>
    <row r="41" spans="1:52" ht="15.75" customHeight="1" x14ac:dyDescent="0.3">
      <c r="A41" s="1" t="s">
        <v>232</v>
      </c>
      <c r="B41" s="2" t="s">
        <v>233</v>
      </c>
      <c r="C41" s="2">
        <v>260000019</v>
      </c>
      <c r="D41" s="1" t="s">
        <v>96</v>
      </c>
      <c r="E41" s="1" t="s">
        <v>97</v>
      </c>
      <c r="F41" s="1" t="s">
        <v>67</v>
      </c>
      <c r="G41" s="1" t="s">
        <v>68</v>
      </c>
      <c r="H41" s="1" t="s">
        <v>69</v>
      </c>
      <c r="I41" s="1" t="s">
        <v>70</v>
      </c>
      <c r="J41" s="1" t="s">
        <v>98</v>
      </c>
      <c r="K41" s="1">
        <v>6</v>
      </c>
      <c r="L41" s="1" t="s">
        <v>99</v>
      </c>
      <c r="M41" s="1" t="s">
        <v>73</v>
      </c>
      <c r="N41" s="1" t="s">
        <v>74</v>
      </c>
      <c r="O41" s="1" t="s">
        <v>74</v>
      </c>
      <c r="P41" s="1" t="s">
        <v>8</v>
      </c>
      <c r="Q41" s="1" t="s">
        <v>80</v>
      </c>
      <c r="R41" s="1" t="s">
        <v>210</v>
      </c>
      <c r="S41" s="2"/>
      <c r="T41" s="1">
        <v>8</v>
      </c>
      <c r="U41" s="1">
        <v>43</v>
      </c>
      <c r="X41" s="1">
        <v>79</v>
      </c>
      <c r="Z41" s="1">
        <v>65</v>
      </c>
      <c r="AA41" s="1">
        <v>39</v>
      </c>
      <c r="AB41" s="1">
        <v>58</v>
      </c>
      <c r="AD41" s="1">
        <v>16</v>
      </c>
      <c r="AE41" s="1" t="s">
        <v>77</v>
      </c>
      <c r="AF41" s="12">
        <v>58</v>
      </c>
      <c r="AG41" s="12">
        <v>31</v>
      </c>
      <c r="AH41" s="12">
        <v>27</v>
      </c>
      <c r="AI41" s="13">
        <v>44.228070175438596</v>
      </c>
      <c r="AJ41" s="13">
        <v>69</v>
      </c>
      <c r="AK41" s="13">
        <v>27</v>
      </c>
      <c r="AL41" s="13">
        <v>11.751926200566395</v>
      </c>
      <c r="AM41" s="14">
        <v>32</v>
      </c>
      <c r="AN41" s="14">
        <v>32</v>
      </c>
      <c r="AO41" s="3">
        <f t="shared" si="6"/>
        <v>1</v>
      </c>
      <c r="AP41" s="14">
        <v>0</v>
      </c>
      <c r="AQ41" s="14">
        <v>58</v>
      </c>
      <c r="AR41" s="3">
        <f t="shared" si="0"/>
        <v>0</v>
      </c>
      <c r="AS41" s="1">
        <v>13</v>
      </c>
      <c r="AT41" s="1">
        <v>6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f t="shared" si="1"/>
        <v>19</v>
      </c>
    </row>
    <row r="42" spans="1:52" ht="15.75" customHeight="1" x14ac:dyDescent="0.3">
      <c r="A42" s="1" t="s">
        <v>234</v>
      </c>
      <c r="B42" s="2" t="s">
        <v>235</v>
      </c>
      <c r="C42" s="2">
        <v>260000008</v>
      </c>
      <c r="D42" s="1" t="s">
        <v>113</v>
      </c>
      <c r="E42" s="1" t="s">
        <v>114</v>
      </c>
      <c r="F42" s="1" t="s">
        <v>67</v>
      </c>
      <c r="G42" s="1" t="s">
        <v>68</v>
      </c>
      <c r="H42" s="1" t="s">
        <v>69</v>
      </c>
      <c r="I42" s="1" t="s">
        <v>70</v>
      </c>
      <c r="J42" s="1" t="s">
        <v>71</v>
      </c>
      <c r="K42" s="1">
        <v>10</v>
      </c>
      <c r="L42" s="1" t="s">
        <v>115</v>
      </c>
      <c r="M42" s="1" t="s">
        <v>73</v>
      </c>
      <c r="N42" s="1" t="s">
        <v>74</v>
      </c>
      <c r="O42" s="1" t="s">
        <v>74</v>
      </c>
      <c r="P42" s="1" t="s">
        <v>8</v>
      </c>
      <c r="Q42" s="1" t="s">
        <v>80</v>
      </c>
      <c r="R42" s="1" t="s">
        <v>236</v>
      </c>
      <c r="S42" s="2"/>
      <c r="X42" s="1">
        <v>9</v>
      </c>
      <c r="Y42" s="1">
        <v>7</v>
      </c>
      <c r="Z42" s="1">
        <v>9</v>
      </c>
      <c r="AA42" s="1">
        <v>9</v>
      </c>
      <c r="AB42" s="1">
        <v>10</v>
      </c>
      <c r="AC42" s="1">
        <v>6</v>
      </c>
      <c r="AD42" s="1">
        <v>6</v>
      </c>
      <c r="AE42" s="1" t="s">
        <v>77</v>
      </c>
      <c r="AF42" s="12">
        <v>10</v>
      </c>
      <c r="AG42" s="12">
        <v>4</v>
      </c>
      <c r="AH42" s="12">
        <v>6</v>
      </c>
      <c r="AI42" s="13">
        <v>44.333333333333336</v>
      </c>
      <c r="AJ42" s="13">
        <v>62</v>
      </c>
      <c r="AK42" s="13">
        <v>30</v>
      </c>
      <c r="AL42" s="13">
        <v>11.979148550710939</v>
      </c>
      <c r="AM42" s="14">
        <v>20</v>
      </c>
      <c r="AN42" s="14">
        <v>5</v>
      </c>
      <c r="AO42" s="3">
        <f t="shared" si="6"/>
        <v>0.25</v>
      </c>
      <c r="AP42" s="14">
        <v>1</v>
      </c>
      <c r="AQ42" s="14">
        <v>9</v>
      </c>
      <c r="AR42" s="3">
        <f t="shared" si="0"/>
        <v>0.1111111111111111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f t="shared" si="1"/>
        <v>1</v>
      </c>
    </row>
    <row r="43" spans="1:52" ht="15.75" customHeight="1" x14ac:dyDescent="0.3">
      <c r="A43" s="1" t="s">
        <v>237</v>
      </c>
      <c r="B43" s="2" t="s">
        <v>238</v>
      </c>
      <c r="C43" s="2">
        <v>260000014</v>
      </c>
      <c r="D43" s="1" t="s">
        <v>65</v>
      </c>
      <c r="E43" s="1" t="s">
        <v>66</v>
      </c>
      <c r="F43" s="1" t="s">
        <v>67</v>
      </c>
      <c r="G43" s="1" t="s">
        <v>68</v>
      </c>
      <c r="H43" s="1" t="s">
        <v>69</v>
      </c>
      <c r="I43" s="1" t="s">
        <v>70</v>
      </c>
      <c r="J43" s="1" t="s">
        <v>71</v>
      </c>
      <c r="K43" s="1">
        <v>10</v>
      </c>
      <c r="L43" s="1" t="s">
        <v>72</v>
      </c>
      <c r="M43" s="1" t="s">
        <v>73</v>
      </c>
      <c r="N43" s="1" t="s">
        <v>74</v>
      </c>
      <c r="O43" s="1" t="s">
        <v>74</v>
      </c>
      <c r="P43" s="1" t="s">
        <v>8</v>
      </c>
      <c r="Q43" s="1" t="s">
        <v>90</v>
      </c>
      <c r="R43" s="1" t="s">
        <v>239</v>
      </c>
      <c r="S43" s="2">
        <v>2018</v>
      </c>
      <c r="U43" s="1">
        <v>14</v>
      </c>
      <c r="V43" s="1">
        <v>11</v>
      </c>
      <c r="AB43" s="1">
        <v>4</v>
      </c>
      <c r="AC43" s="1">
        <v>4</v>
      </c>
      <c r="AE43" s="1" t="s">
        <v>77</v>
      </c>
      <c r="AF43" s="12">
        <v>4</v>
      </c>
      <c r="AG43" s="12">
        <v>2</v>
      </c>
      <c r="AH43" s="12">
        <v>2</v>
      </c>
      <c r="AI43" s="13">
        <v>44.5</v>
      </c>
      <c r="AJ43" s="13">
        <v>66</v>
      </c>
      <c r="AK43" s="13">
        <v>33</v>
      </c>
      <c r="AL43" s="13">
        <v>14.708274315273473</v>
      </c>
      <c r="AM43" s="14">
        <v>3</v>
      </c>
      <c r="AN43" s="14">
        <v>3</v>
      </c>
      <c r="AO43" s="3">
        <f t="shared" si="6"/>
        <v>1</v>
      </c>
      <c r="AP43" s="14">
        <v>0</v>
      </c>
      <c r="AQ43" s="14">
        <v>4</v>
      </c>
      <c r="AR43" s="3">
        <f t="shared" si="0"/>
        <v>0</v>
      </c>
      <c r="AZ43" s="1">
        <f t="shared" si="1"/>
        <v>0</v>
      </c>
    </row>
    <row r="44" spans="1:52" ht="15.75" customHeight="1" x14ac:dyDescent="0.3">
      <c r="A44" s="1" t="s">
        <v>240</v>
      </c>
      <c r="B44" s="2" t="s">
        <v>241</v>
      </c>
      <c r="C44" s="2">
        <v>160000001</v>
      </c>
      <c r="D44" s="1" t="s">
        <v>123</v>
      </c>
      <c r="E44" s="1" t="s">
        <v>124</v>
      </c>
      <c r="F44" s="1" t="s">
        <v>67</v>
      </c>
      <c r="G44" s="1" t="s">
        <v>86</v>
      </c>
      <c r="H44" s="1" t="s">
        <v>87</v>
      </c>
      <c r="I44" s="1" t="s">
        <v>70</v>
      </c>
      <c r="J44" s="1" t="s">
        <v>125</v>
      </c>
      <c r="K44" s="1">
        <v>10</v>
      </c>
      <c r="L44" s="1" t="s">
        <v>74</v>
      </c>
      <c r="M44" s="1" t="s">
        <v>73</v>
      </c>
      <c r="N44" s="1" t="s">
        <v>74</v>
      </c>
      <c r="O44" s="1" t="s">
        <v>74</v>
      </c>
      <c r="P44" s="1" t="s">
        <v>8</v>
      </c>
      <c r="Q44" s="1" t="s">
        <v>80</v>
      </c>
      <c r="R44" s="1" t="s">
        <v>242</v>
      </c>
      <c r="S44" s="2"/>
      <c r="T44" s="1">
        <v>45</v>
      </c>
      <c r="U44" s="1">
        <v>45</v>
      </c>
      <c r="V44" s="1">
        <v>58</v>
      </c>
      <c r="W44" s="1">
        <v>58</v>
      </c>
      <c r="Y44" s="1">
        <v>59</v>
      </c>
      <c r="Z44" s="1">
        <v>33</v>
      </c>
      <c r="AC44" s="1">
        <v>47</v>
      </c>
      <c r="AD44" s="1">
        <v>31</v>
      </c>
      <c r="AE44" s="1" t="s">
        <v>93</v>
      </c>
      <c r="AF44" s="12">
        <v>94</v>
      </c>
      <c r="AG44" s="12">
        <v>24</v>
      </c>
      <c r="AH44" s="12">
        <v>70</v>
      </c>
      <c r="AI44" s="13">
        <v>45.06666666666667</v>
      </c>
      <c r="AJ44" s="13">
        <v>66</v>
      </c>
      <c r="AK44" s="13">
        <v>66</v>
      </c>
      <c r="AL44" s="13">
        <v>30</v>
      </c>
      <c r="AM44" s="14">
        <v>16</v>
      </c>
      <c r="AN44" s="14">
        <v>16</v>
      </c>
      <c r="AO44" s="3">
        <f t="shared" si="6"/>
        <v>1</v>
      </c>
      <c r="AP44" s="14">
        <v>4</v>
      </c>
      <c r="AQ44" s="14">
        <v>88</v>
      </c>
      <c r="AR44" s="3">
        <f t="shared" si="0"/>
        <v>4.5454545454545456E-2</v>
      </c>
      <c r="AS44" s="1">
        <v>0</v>
      </c>
      <c r="AT44" s="1">
        <v>22</v>
      </c>
      <c r="AU44" s="1">
        <v>0</v>
      </c>
      <c r="AV44" s="1">
        <v>16</v>
      </c>
      <c r="AW44" s="1">
        <v>0</v>
      </c>
      <c r="AX44" s="1">
        <v>3</v>
      </c>
      <c r="AY44" s="1">
        <v>14</v>
      </c>
      <c r="AZ44" s="1">
        <f t="shared" si="1"/>
        <v>55</v>
      </c>
    </row>
    <row r="45" spans="1:52" ht="15.75" customHeight="1" x14ac:dyDescent="0.3">
      <c r="A45" s="1" t="s">
        <v>243</v>
      </c>
      <c r="B45" s="2" t="s">
        <v>244</v>
      </c>
      <c r="C45" s="2">
        <v>160000007</v>
      </c>
      <c r="D45" s="1" t="s">
        <v>129</v>
      </c>
      <c r="E45" s="1" t="s">
        <v>130</v>
      </c>
      <c r="F45" s="1" t="s">
        <v>67</v>
      </c>
      <c r="G45" s="1" t="s">
        <v>86</v>
      </c>
      <c r="H45" s="1" t="s">
        <v>87</v>
      </c>
      <c r="I45" s="1" t="s">
        <v>70</v>
      </c>
      <c r="J45" s="1" t="s">
        <v>131</v>
      </c>
      <c r="K45" s="1">
        <v>8</v>
      </c>
      <c r="L45" s="1" t="s">
        <v>132</v>
      </c>
      <c r="M45" s="1" t="s">
        <v>73</v>
      </c>
      <c r="N45" s="1" t="s">
        <v>74</v>
      </c>
      <c r="O45" s="1" t="s">
        <v>74</v>
      </c>
      <c r="P45" s="1" t="s">
        <v>8</v>
      </c>
      <c r="Q45" s="1" t="s">
        <v>90</v>
      </c>
      <c r="R45" s="1" t="s">
        <v>245</v>
      </c>
      <c r="S45" s="2"/>
      <c r="U45" s="1">
        <v>33</v>
      </c>
      <c r="V45" s="1">
        <v>41</v>
      </c>
      <c r="W45" s="1">
        <v>32</v>
      </c>
      <c r="X45" s="1">
        <v>32</v>
      </c>
      <c r="Y45" s="1">
        <v>28</v>
      </c>
      <c r="Z45" s="1">
        <v>29</v>
      </c>
      <c r="AA45" s="1">
        <v>29</v>
      </c>
      <c r="AB45" s="1">
        <v>37</v>
      </c>
      <c r="AC45" s="1">
        <v>44</v>
      </c>
      <c r="AD45" s="1">
        <v>39</v>
      </c>
      <c r="AE45" s="1" t="s">
        <v>77</v>
      </c>
      <c r="AF45" s="12">
        <v>37</v>
      </c>
      <c r="AG45" s="12">
        <v>7</v>
      </c>
      <c r="AH45" s="12">
        <v>30</v>
      </c>
      <c r="AI45" s="13">
        <v>45.189189189189186</v>
      </c>
      <c r="AJ45" s="13">
        <v>65</v>
      </c>
      <c r="AK45" s="13">
        <v>29</v>
      </c>
      <c r="AL45" s="13">
        <v>10.270880731027457</v>
      </c>
      <c r="AM45" s="14">
        <v>17</v>
      </c>
      <c r="AN45" s="14">
        <v>15</v>
      </c>
      <c r="AO45" s="3">
        <f t="shared" si="6"/>
        <v>0.88235294117647056</v>
      </c>
      <c r="AP45" s="14">
        <v>6</v>
      </c>
      <c r="AQ45" s="14">
        <v>31</v>
      </c>
      <c r="AR45" s="3">
        <f t="shared" si="0"/>
        <v>0.19354838709677419</v>
      </c>
      <c r="AZ45" s="1">
        <f t="shared" si="1"/>
        <v>0</v>
      </c>
    </row>
    <row r="46" spans="1:52" ht="15.75" customHeight="1" x14ac:dyDescent="0.3">
      <c r="A46" s="1" t="s">
        <v>246</v>
      </c>
      <c r="B46" s="2" t="s">
        <v>247</v>
      </c>
      <c r="C46" s="2">
        <v>160000001</v>
      </c>
      <c r="D46" s="1" t="s">
        <v>123</v>
      </c>
      <c r="E46" s="1" t="s">
        <v>124</v>
      </c>
      <c r="F46" s="1" t="s">
        <v>67</v>
      </c>
      <c r="G46" s="1" t="s">
        <v>86</v>
      </c>
      <c r="H46" s="1" t="s">
        <v>87</v>
      </c>
      <c r="I46" s="1" t="s">
        <v>70</v>
      </c>
      <c r="J46" s="1" t="s">
        <v>125</v>
      </c>
      <c r="K46" s="1">
        <v>10</v>
      </c>
      <c r="L46" s="1" t="s">
        <v>74</v>
      </c>
      <c r="M46" s="1" t="s">
        <v>73</v>
      </c>
      <c r="N46" s="1" t="s">
        <v>74</v>
      </c>
      <c r="O46" s="1" t="s">
        <v>74</v>
      </c>
      <c r="P46" s="1" t="s">
        <v>8</v>
      </c>
      <c r="Q46" s="1" t="s">
        <v>75</v>
      </c>
      <c r="R46" s="1" t="s">
        <v>248</v>
      </c>
      <c r="S46" s="2">
        <v>2023</v>
      </c>
      <c r="T46" s="1">
        <v>33</v>
      </c>
      <c r="U46" s="1">
        <v>25</v>
      </c>
      <c r="V46" s="1">
        <v>27</v>
      </c>
      <c r="W46" s="1">
        <v>32</v>
      </c>
      <c r="Y46" s="1">
        <v>26</v>
      </c>
      <c r="Z46" s="1">
        <v>26</v>
      </c>
      <c r="AC46" s="1">
        <v>10</v>
      </c>
      <c r="AD46" s="1">
        <v>1</v>
      </c>
      <c r="AE46" s="1" t="s">
        <v>93</v>
      </c>
      <c r="AF46" s="15">
        <v>20</v>
      </c>
      <c r="AG46" s="15">
        <v>10</v>
      </c>
      <c r="AH46" s="15">
        <v>10</v>
      </c>
      <c r="AI46" s="13">
        <v>45.2</v>
      </c>
      <c r="AJ46" s="13">
        <v>54</v>
      </c>
      <c r="AK46" s="13">
        <v>54</v>
      </c>
      <c r="AL46" s="13">
        <v>34</v>
      </c>
      <c r="AM46" s="14">
        <v>40</v>
      </c>
      <c r="AN46" s="14">
        <v>40</v>
      </c>
      <c r="AO46" s="3">
        <f t="shared" si="6"/>
        <v>1</v>
      </c>
      <c r="AP46" s="14">
        <v>0</v>
      </c>
      <c r="AQ46" s="14">
        <v>20</v>
      </c>
      <c r="AR46" s="3">
        <f t="shared" si="0"/>
        <v>0</v>
      </c>
      <c r="AS46" s="1">
        <v>0</v>
      </c>
      <c r="AT46" s="1">
        <v>0</v>
      </c>
      <c r="AU46" s="1">
        <v>0</v>
      </c>
      <c r="AV46" s="1">
        <v>11</v>
      </c>
      <c r="AW46" s="1">
        <v>0</v>
      </c>
      <c r="AX46" s="1">
        <v>6</v>
      </c>
      <c r="AY46" s="1">
        <v>9</v>
      </c>
      <c r="AZ46" s="1">
        <f t="shared" si="1"/>
        <v>26</v>
      </c>
    </row>
    <row r="47" spans="1:52" ht="15.75" customHeight="1" x14ac:dyDescent="0.3">
      <c r="A47" s="1" t="s">
        <v>249</v>
      </c>
      <c r="B47" s="2" t="s">
        <v>250</v>
      </c>
      <c r="C47" s="2">
        <v>160000001</v>
      </c>
      <c r="D47" s="1" t="s">
        <v>123</v>
      </c>
      <c r="E47" s="1" t="s">
        <v>124</v>
      </c>
      <c r="F47" s="1" t="s">
        <v>67</v>
      </c>
      <c r="G47" s="1" t="s">
        <v>86</v>
      </c>
      <c r="H47" s="1" t="s">
        <v>87</v>
      </c>
      <c r="I47" s="1" t="s">
        <v>70</v>
      </c>
      <c r="J47" s="1" t="s">
        <v>125</v>
      </c>
      <c r="K47" s="1">
        <v>10</v>
      </c>
      <c r="L47" s="1" t="s">
        <v>74</v>
      </c>
      <c r="M47" s="1" t="s">
        <v>73</v>
      </c>
      <c r="N47" s="1" t="s">
        <v>74</v>
      </c>
      <c r="O47" s="1" t="s">
        <v>74</v>
      </c>
      <c r="P47" s="1" t="s">
        <v>8</v>
      </c>
      <c r="Q47" s="1" t="s">
        <v>90</v>
      </c>
      <c r="R47" s="1" t="s">
        <v>251</v>
      </c>
      <c r="S47" s="2"/>
      <c r="T47" s="1">
        <v>22</v>
      </c>
      <c r="U47" s="1">
        <v>30</v>
      </c>
      <c r="V47" s="1">
        <v>31</v>
      </c>
      <c r="W47" s="1">
        <v>46</v>
      </c>
      <c r="Y47" s="1">
        <v>67</v>
      </c>
      <c r="Z47" s="1">
        <v>45</v>
      </c>
      <c r="AC47" s="1">
        <v>64</v>
      </c>
      <c r="AD47" s="1">
        <v>50</v>
      </c>
      <c r="AE47" s="1" t="s">
        <v>93</v>
      </c>
      <c r="AF47" s="15">
        <v>128</v>
      </c>
      <c r="AG47" s="15">
        <v>16</v>
      </c>
      <c r="AH47" s="15">
        <v>112</v>
      </c>
      <c r="AI47" s="13">
        <v>45.265625</v>
      </c>
      <c r="AJ47" s="13">
        <v>67</v>
      </c>
      <c r="AK47" s="13">
        <v>67</v>
      </c>
      <c r="AL47" s="13">
        <v>27</v>
      </c>
      <c r="AM47" s="14">
        <v>40</v>
      </c>
      <c r="AN47" s="14">
        <v>40</v>
      </c>
      <c r="AO47" s="3">
        <f t="shared" si="6"/>
        <v>1</v>
      </c>
      <c r="AP47" s="14">
        <v>12</v>
      </c>
      <c r="AQ47" s="14">
        <v>116</v>
      </c>
      <c r="AR47" s="3">
        <f t="shared" si="0"/>
        <v>0.10344827586206896</v>
      </c>
      <c r="AS47" s="1">
        <v>1</v>
      </c>
      <c r="AT47" s="1">
        <v>2</v>
      </c>
      <c r="AU47" s="1">
        <v>5</v>
      </c>
      <c r="AV47" s="1">
        <v>7</v>
      </c>
      <c r="AW47" s="1">
        <v>0</v>
      </c>
      <c r="AX47" s="1">
        <v>1</v>
      </c>
      <c r="AY47" s="1">
        <v>16</v>
      </c>
      <c r="AZ47" s="1">
        <f t="shared" si="1"/>
        <v>32</v>
      </c>
    </row>
    <row r="48" spans="1:52" ht="15.75" customHeight="1" x14ac:dyDescent="0.3">
      <c r="A48" s="1" t="s">
        <v>252</v>
      </c>
      <c r="B48" s="2" t="s">
        <v>253</v>
      </c>
      <c r="C48" s="2">
        <v>260000014</v>
      </c>
      <c r="D48" s="1" t="s">
        <v>65</v>
      </c>
      <c r="E48" s="1" t="s">
        <v>66</v>
      </c>
      <c r="F48" s="1" t="s">
        <v>67</v>
      </c>
      <c r="G48" s="1" t="s">
        <v>68</v>
      </c>
      <c r="H48" s="1" t="s">
        <v>69</v>
      </c>
      <c r="I48" s="1" t="s">
        <v>70</v>
      </c>
      <c r="J48" s="1" t="s">
        <v>71</v>
      </c>
      <c r="K48" s="1">
        <v>10</v>
      </c>
      <c r="L48" s="1" t="s">
        <v>72</v>
      </c>
      <c r="M48" s="1" t="s">
        <v>73</v>
      </c>
      <c r="N48" s="1" t="s">
        <v>74</v>
      </c>
      <c r="O48" s="1" t="s">
        <v>74</v>
      </c>
      <c r="P48" s="1" t="s">
        <v>8</v>
      </c>
      <c r="Q48" s="1" t="s">
        <v>80</v>
      </c>
      <c r="R48" s="1" t="s">
        <v>254</v>
      </c>
      <c r="S48" s="2"/>
      <c r="U48" s="1">
        <v>12</v>
      </c>
      <c r="V48" s="1">
        <v>5</v>
      </c>
      <c r="AB48" s="1">
        <v>3</v>
      </c>
      <c r="AE48" s="1" t="s">
        <v>77</v>
      </c>
      <c r="AF48" s="12">
        <v>3</v>
      </c>
      <c r="AG48" s="12">
        <v>1</v>
      </c>
      <c r="AH48" s="12">
        <v>2</v>
      </c>
      <c r="AI48" s="13">
        <v>45.333333333333336</v>
      </c>
      <c r="AJ48" s="13">
        <v>50</v>
      </c>
      <c r="AK48" s="13">
        <v>40</v>
      </c>
      <c r="AL48" s="13">
        <v>5.0332229568471814</v>
      </c>
      <c r="AM48" s="14">
        <v>6</v>
      </c>
      <c r="AN48" s="14">
        <v>6</v>
      </c>
      <c r="AO48" s="3">
        <f t="shared" si="6"/>
        <v>1</v>
      </c>
      <c r="AP48" s="14">
        <v>0</v>
      </c>
      <c r="AQ48" s="14">
        <v>3</v>
      </c>
      <c r="AR48" s="3">
        <f t="shared" si="0"/>
        <v>0</v>
      </c>
      <c r="AZ48" s="1">
        <f t="shared" si="1"/>
        <v>0</v>
      </c>
    </row>
    <row r="49" spans="1:52" ht="15.75" customHeight="1" x14ac:dyDescent="0.3">
      <c r="A49" s="1" t="s">
        <v>255</v>
      </c>
      <c r="B49" s="2" t="s">
        <v>256</v>
      </c>
      <c r="C49" s="2">
        <v>160000001</v>
      </c>
      <c r="D49" s="1" t="s">
        <v>123</v>
      </c>
      <c r="E49" s="1" t="s">
        <v>124</v>
      </c>
      <c r="F49" s="1" t="s">
        <v>67</v>
      </c>
      <c r="G49" s="1" t="s">
        <v>86</v>
      </c>
      <c r="H49" s="1" t="s">
        <v>87</v>
      </c>
      <c r="I49" s="1" t="s">
        <v>70</v>
      </c>
      <c r="J49" s="1" t="s">
        <v>125</v>
      </c>
      <c r="K49" s="1">
        <v>10</v>
      </c>
      <c r="L49" s="1" t="s">
        <v>74</v>
      </c>
      <c r="M49" s="1" t="s">
        <v>73</v>
      </c>
      <c r="N49" s="1" t="s">
        <v>74</v>
      </c>
      <c r="O49" s="1" t="s">
        <v>74</v>
      </c>
      <c r="P49" s="1" t="s">
        <v>8</v>
      </c>
      <c r="Q49" s="1" t="s">
        <v>80</v>
      </c>
      <c r="R49" s="1" t="s">
        <v>210</v>
      </c>
      <c r="S49" s="2"/>
      <c r="T49" s="1">
        <v>34</v>
      </c>
      <c r="U49" s="1">
        <v>32</v>
      </c>
      <c r="V49" s="1">
        <v>37</v>
      </c>
      <c r="W49" s="1">
        <v>34</v>
      </c>
      <c r="Y49" s="1">
        <v>41</v>
      </c>
      <c r="Z49" s="1">
        <v>27</v>
      </c>
      <c r="AC49" s="1">
        <v>23</v>
      </c>
      <c r="AD49" s="1">
        <v>14</v>
      </c>
      <c r="AE49" s="1" t="s">
        <v>93</v>
      </c>
      <c r="AF49" s="15">
        <v>46</v>
      </c>
      <c r="AG49" s="15">
        <v>32</v>
      </c>
      <c r="AH49" s="15">
        <v>14</v>
      </c>
      <c r="AI49" s="13">
        <v>45.434782608695649</v>
      </c>
      <c r="AJ49" s="13">
        <v>69</v>
      </c>
      <c r="AK49" s="13">
        <v>69</v>
      </c>
      <c r="AL49" s="13">
        <v>30</v>
      </c>
      <c r="AM49" s="14">
        <v>13</v>
      </c>
      <c r="AN49" s="14">
        <v>13</v>
      </c>
      <c r="AO49" s="3">
        <f t="shared" si="6"/>
        <v>1</v>
      </c>
      <c r="AP49" s="14">
        <v>0</v>
      </c>
      <c r="AQ49" s="14">
        <v>46</v>
      </c>
      <c r="AR49" s="3">
        <f t="shared" si="0"/>
        <v>0</v>
      </c>
      <c r="AS49" s="1">
        <v>0</v>
      </c>
      <c r="AT49" s="1">
        <v>14</v>
      </c>
      <c r="AU49" s="1">
        <v>0</v>
      </c>
      <c r="AV49" s="1">
        <v>8</v>
      </c>
      <c r="AW49" s="1">
        <v>0</v>
      </c>
      <c r="AX49" s="1">
        <v>1</v>
      </c>
      <c r="AY49" s="1">
        <v>14</v>
      </c>
      <c r="AZ49" s="1">
        <f t="shared" si="1"/>
        <v>37</v>
      </c>
    </row>
    <row r="50" spans="1:52" ht="15.75" customHeight="1" x14ac:dyDescent="0.3">
      <c r="A50" s="1" t="s">
        <v>257</v>
      </c>
      <c r="B50" s="2" t="s">
        <v>258</v>
      </c>
      <c r="C50" s="2">
        <v>160000007</v>
      </c>
      <c r="D50" s="1" t="s">
        <v>129</v>
      </c>
      <c r="E50" s="1" t="s">
        <v>130</v>
      </c>
      <c r="F50" s="1" t="s">
        <v>67</v>
      </c>
      <c r="G50" s="1" t="s">
        <v>86</v>
      </c>
      <c r="H50" s="1" t="s">
        <v>87</v>
      </c>
      <c r="I50" s="1" t="s">
        <v>70</v>
      </c>
      <c r="J50" s="1" t="s">
        <v>131</v>
      </c>
      <c r="K50" s="1">
        <v>8</v>
      </c>
      <c r="L50" s="1" t="s">
        <v>132</v>
      </c>
      <c r="M50" s="1" t="s">
        <v>73</v>
      </c>
      <c r="N50" s="1" t="s">
        <v>74</v>
      </c>
      <c r="O50" s="1" t="s">
        <v>74</v>
      </c>
      <c r="P50" s="1" t="s">
        <v>8</v>
      </c>
      <c r="Q50" s="1" t="s">
        <v>141</v>
      </c>
      <c r="R50" s="1" t="s">
        <v>259</v>
      </c>
      <c r="S50" s="2" t="s">
        <v>260</v>
      </c>
      <c r="U50" s="1">
        <v>24</v>
      </c>
      <c r="V50" s="1">
        <v>28</v>
      </c>
      <c r="W50" s="1">
        <v>31</v>
      </c>
      <c r="X50" s="1">
        <v>29</v>
      </c>
      <c r="Y50" s="1">
        <v>29</v>
      </c>
      <c r="Z50" s="1">
        <v>19</v>
      </c>
      <c r="AA50" s="1">
        <v>17</v>
      </c>
      <c r="AB50" s="1">
        <v>19</v>
      </c>
      <c r="AC50" s="1">
        <v>24</v>
      </c>
      <c r="AD50" s="1">
        <v>16</v>
      </c>
      <c r="AE50" s="1" t="s">
        <v>77</v>
      </c>
      <c r="AF50" s="12">
        <v>19</v>
      </c>
      <c r="AG50" s="12">
        <v>9</v>
      </c>
      <c r="AH50" s="12">
        <v>10</v>
      </c>
      <c r="AI50" s="13">
        <v>45.555555555555557</v>
      </c>
      <c r="AJ50" s="13">
        <v>69</v>
      </c>
      <c r="AK50" s="13">
        <v>35</v>
      </c>
      <c r="AL50" s="13">
        <v>9.2368967428411004</v>
      </c>
      <c r="AM50" s="14">
        <v>17</v>
      </c>
      <c r="AN50" s="14">
        <v>14</v>
      </c>
      <c r="AO50" s="3">
        <f t="shared" si="6"/>
        <v>0.82352941176470584</v>
      </c>
      <c r="AP50" s="14">
        <v>1</v>
      </c>
      <c r="AQ50" s="14">
        <v>18</v>
      </c>
      <c r="AR50" s="3">
        <f t="shared" si="0"/>
        <v>5.5555555555555552E-2</v>
      </c>
      <c r="AZ50" s="1">
        <f t="shared" si="1"/>
        <v>0</v>
      </c>
    </row>
    <row r="51" spans="1:52" ht="15.75" customHeight="1" x14ac:dyDescent="0.3">
      <c r="A51" s="1" t="s">
        <v>261</v>
      </c>
      <c r="B51" s="2" t="s">
        <v>262</v>
      </c>
      <c r="C51" s="2">
        <v>260000008</v>
      </c>
      <c r="D51" s="1" t="s">
        <v>113</v>
      </c>
      <c r="E51" s="1" t="s">
        <v>114</v>
      </c>
      <c r="F51" s="1" t="s">
        <v>67</v>
      </c>
      <c r="G51" s="1" t="s">
        <v>68</v>
      </c>
      <c r="H51" s="1" t="s">
        <v>69</v>
      </c>
      <c r="I51" s="1" t="s">
        <v>70</v>
      </c>
      <c r="J51" s="1" t="s">
        <v>71</v>
      </c>
      <c r="K51" s="1">
        <v>10</v>
      </c>
      <c r="L51" s="1" t="s">
        <v>115</v>
      </c>
      <c r="M51" s="1" t="s">
        <v>73</v>
      </c>
      <c r="N51" s="1" t="s">
        <v>74</v>
      </c>
      <c r="O51" s="1" t="s">
        <v>74</v>
      </c>
      <c r="P51" s="1" t="s">
        <v>8</v>
      </c>
      <c r="Q51" s="1" t="s">
        <v>80</v>
      </c>
      <c r="R51" s="1" t="s">
        <v>263</v>
      </c>
      <c r="S51" s="2"/>
      <c r="X51" s="1">
        <v>22</v>
      </c>
      <c r="Y51" s="1">
        <v>17</v>
      </c>
      <c r="Z51" s="1">
        <v>19</v>
      </c>
      <c r="AA51" s="1">
        <v>19</v>
      </c>
      <c r="AB51" s="1">
        <v>16</v>
      </c>
      <c r="AC51" s="1">
        <v>16</v>
      </c>
      <c r="AD51" s="1">
        <v>15</v>
      </c>
      <c r="AE51" s="1" t="s">
        <v>77</v>
      </c>
      <c r="AF51" s="12">
        <v>16</v>
      </c>
      <c r="AG51" s="12">
        <v>7</v>
      </c>
      <c r="AH51" s="12">
        <v>9</v>
      </c>
      <c r="AI51" s="13">
        <v>45.6</v>
      </c>
      <c r="AJ51" s="13">
        <v>65</v>
      </c>
      <c r="AK51" s="13">
        <v>35</v>
      </c>
      <c r="AL51" s="13">
        <v>9.2720778993399566</v>
      </c>
      <c r="AM51" s="14">
        <v>7</v>
      </c>
      <c r="AN51" s="14">
        <v>3</v>
      </c>
      <c r="AO51" s="3">
        <f t="shared" si="6"/>
        <v>0.42857142857142855</v>
      </c>
      <c r="AP51" s="14">
        <v>2</v>
      </c>
      <c r="AQ51" s="14">
        <v>14</v>
      </c>
      <c r="AR51" s="3">
        <f t="shared" si="0"/>
        <v>0.14285714285714285</v>
      </c>
      <c r="AS51" s="1">
        <v>0</v>
      </c>
      <c r="AT51" s="1">
        <v>0</v>
      </c>
      <c r="AU51" s="1">
        <v>0</v>
      </c>
      <c r="AV51" s="1">
        <v>3</v>
      </c>
      <c r="AW51" s="1">
        <v>0</v>
      </c>
      <c r="AX51" s="1">
        <v>0</v>
      </c>
      <c r="AY51" s="1">
        <v>0</v>
      </c>
      <c r="AZ51" s="1">
        <f t="shared" si="1"/>
        <v>3</v>
      </c>
    </row>
    <row r="52" spans="1:52" ht="15.75" customHeight="1" x14ac:dyDescent="0.3">
      <c r="A52" s="1" t="s">
        <v>264</v>
      </c>
      <c r="B52" s="2" t="s">
        <v>265</v>
      </c>
      <c r="C52" s="2">
        <v>260000008</v>
      </c>
      <c r="D52" s="1" t="s">
        <v>113</v>
      </c>
      <c r="E52" s="1" t="s">
        <v>114</v>
      </c>
      <c r="F52" s="1" t="s">
        <v>67</v>
      </c>
      <c r="G52" s="1" t="s">
        <v>68</v>
      </c>
      <c r="H52" s="1" t="s">
        <v>69</v>
      </c>
      <c r="I52" s="1" t="s">
        <v>70</v>
      </c>
      <c r="J52" s="1" t="s">
        <v>71</v>
      </c>
      <c r="K52" s="1">
        <v>10</v>
      </c>
      <c r="L52" s="1" t="s">
        <v>115</v>
      </c>
      <c r="M52" s="1" t="s">
        <v>73</v>
      </c>
      <c r="N52" s="1" t="s">
        <v>74</v>
      </c>
      <c r="O52" s="1" t="s">
        <v>74</v>
      </c>
      <c r="P52" s="1" t="s">
        <v>8</v>
      </c>
      <c r="Q52" s="1" t="s">
        <v>80</v>
      </c>
      <c r="R52" s="1" t="s">
        <v>266</v>
      </c>
      <c r="S52" s="2"/>
      <c r="X52" s="1">
        <v>24</v>
      </c>
      <c r="Y52" s="1">
        <v>20</v>
      </c>
      <c r="Z52" s="1">
        <v>24</v>
      </c>
      <c r="AA52" s="1">
        <v>18</v>
      </c>
      <c r="AB52" s="1">
        <v>20</v>
      </c>
      <c r="AC52" s="1">
        <v>15</v>
      </c>
      <c r="AD52" s="1">
        <v>17</v>
      </c>
      <c r="AE52" s="1" t="s">
        <v>77</v>
      </c>
      <c r="AF52" s="12">
        <v>20</v>
      </c>
      <c r="AG52" s="12">
        <v>11</v>
      </c>
      <c r="AH52" s="12">
        <v>9</v>
      </c>
      <c r="AI52" s="13">
        <v>45.75</v>
      </c>
      <c r="AJ52" s="13">
        <v>66</v>
      </c>
      <c r="AK52" s="13">
        <v>33</v>
      </c>
      <c r="AL52" s="13">
        <v>7.3975458234826981</v>
      </c>
      <c r="AM52" s="14">
        <v>13</v>
      </c>
      <c r="AN52" s="14">
        <v>6</v>
      </c>
      <c r="AO52" s="3">
        <f t="shared" si="6"/>
        <v>0.46153846153846156</v>
      </c>
      <c r="AP52" s="14">
        <v>0</v>
      </c>
      <c r="AQ52" s="14">
        <v>20</v>
      </c>
      <c r="AR52" s="3">
        <f t="shared" si="0"/>
        <v>0</v>
      </c>
      <c r="AS52" s="1">
        <v>0</v>
      </c>
      <c r="AT52" s="1">
        <v>0</v>
      </c>
      <c r="AU52" s="1">
        <v>3</v>
      </c>
      <c r="AV52" s="1">
        <v>1</v>
      </c>
      <c r="AW52" s="1">
        <v>0</v>
      </c>
      <c r="AX52" s="1">
        <v>1</v>
      </c>
      <c r="AY52" s="1">
        <v>0</v>
      </c>
      <c r="AZ52" s="1">
        <f t="shared" si="1"/>
        <v>5</v>
      </c>
    </row>
    <row r="53" spans="1:52" ht="15.75" customHeight="1" x14ac:dyDescent="0.3">
      <c r="A53" s="1" t="s">
        <v>267</v>
      </c>
      <c r="B53" s="2" t="s">
        <v>268</v>
      </c>
      <c r="C53" s="2">
        <v>260000019</v>
      </c>
      <c r="D53" s="1" t="s">
        <v>96</v>
      </c>
      <c r="E53" s="1" t="s">
        <v>97</v>
      </c>
      <c r="F53" s="1" t="s">
        <v>67</v>
      </c>
      <c r="G53" s="1" t="s">
        <v>68</v>
      </c>
      <c r="H53" s="1" t="s">
        <v>69</v>
      </c>
      <c r="I53" s="1" t="s">
        <v>70</v>
      </c>
      <c r="J53" s="1" t="s">
        <v>98</v>
      </c>
      <c r="K53" s="1">
        <v>6</v>
      </c>
      <c r="L53" s="1" t="s">
        <v>99</v>
      </c>
      <c r="M53" s="1" t="s">
        <v>73</v>
      </c>
      <c r="N53" s="1" t="s">
        <v>74</v>
      </c>
      <c r="O53" s="1" t="s">
        <v>74</v>
      </c>
      <c r="P53" s="1" t="s">
        <v>8</v>
      </c>
      <c r="Q53" s="1" t="s">
        <v>80</v>
      </c>
      <c r="R53" s="1" t="s">
        <v>269</v>
      </c>
      <c r="S53" s="2"/>
      <c r="T53" s="1">
        <v>4</v>
      </c>
      <c r="U53" s="1">
        <v>13</v>
      </c>
      <c r="X53" s="1">
        <v>5</v>
      </c>
      <c r="Z53" s="1">
        <v>9</v>
      </c>
      <c r="AA53" s="1">
        <v>3</v>
      </c>
      <c r="AB53" s="1">
        <v>5</v>
      </c>
      <c r="AD53" s="1">
        <v>3</v>
      </c>
      <c r="AE53" s="1" t="s">
        <v>77</v>
      </c>
      <c r="AF53" s="12">
        <v>5</v>
      </c>
      <c r="AG53" s="12">
        <v>1</v>
      </c>
      <c r="AH53" s="12">
        <v>4</v>
      </c>
      <c r="AI53" s="13">
        <v>45.75</v>
      </c>
      <c r="AJ53" s="13">
        <v>59</v>
      </c>
      <c r="AK53" s="13">
        <v>34</v>
      </c>
      <c r="AL53" s="13">
        <v>11.729592206608606</v>
      </c>
      <c r="AM53" s="14"/>
      <c r="AN53" s="14"/>
      <c r="AO53" s="3"/>
      <c r="AP53" s="14">
        <v>0</v>
      </c>
      <c r="AQ53" s="14">
        <v>4</v>
      </c>
      <c r="AR53" s="3">
        <f t="shared" si="0"/>
        <v>0</v>
      </c>
      <c r="AS53" s="1">
        <v>0</v>
      </c>
      <c r="AT53" s="1">
        <v>5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f t="shared" si="1"/>
        <v>5</v>
      </c>
    </row>
    <row r="54" spans="1:52" ht="15.75" customHeight="1" x14ac:dyDescent="0.3">
      <c r="A54" s="1" t="s">
        <v>270</v>
      </c>
      <c r="B54" s="2" t="s">
        <v>271</v>
      </c>
      <c r="C54" s="2">
        <v>260000008</v>
      </c>
      <c r="D54" s="1" t="s">
        <v>113</v>
      </c>
      <c r="E54" s="1" t="s">
        <v>114</v>
      </c>
      <c r="F54" s="1" t="s">
        <v>67</v>
      </c>
      <c r="G54" s="1" t="s">
        <v>68</v>
      </c>
      <c r="H54" s="1" t="s">
        <v>69</v>
      </c>
      <c r="I54" s="1" t="s">
        <v>70</v>
      </c>
      <c r="J54" s="1" t="s">
        <v>71</v>
      </c>
      <c r="K54" s="1">
        <v>10</v>
      </c>
      <c r="L54" s="1" t="s">
        <v>115</v>
      </c>
      <c r="M54" s="1" t="s">
        <v>73</v>
      </c>
      <c r="N54" s="1" t="s">
        <v>74</v>
      </c>
      <c r="O54" s="1" t="s">
        <v>74</v>
      </c>
      <c r="P54" s="1" t="s">
        <v>8</v>
      </c>
      <c r="Q54" s="1" t="s">
        <v>136</v>
      </c>
      <c r="R54" s="1" t="s">
        <v>272</v>
      </c>
      <c r="S54" s="2"/>
      <c r="X54" s="1">
        <v>5</v>
      </c>
      <c r="Y54" s="1">
        <v>6</v>
      </c>
      <c r="Z54" s="1">
        <v>8</v>
      </c>
      <c r="AA54" s="1">
        <v>8</v>
      </c>
      <c r="AB54" s="1">
        <v>10</v>
      </c>
      <c r="AC54" s="1">
        <v>8</v>
      </c>
      <c r="AD54" s="1">
        <v>7</v>
      </c>
      <c r="AE54" s="1" t="s">
        <v>77</v>
      </c>
      <c r="AF54" s="12">
        <v>10</v>
      </c>
      <c r="AG54" s="12">
        <v>3</v>
      </c>
      <c r="AH54" s="12">
        <v>7</v>
      </c>
      <c r="AI54" s="13">
        <v>45.777777777777779</v>
      </c>
      <c r="AJ54" s="13">
        <v>57</v>
      </c>
      <c r="AK54" s="13">
        <v>32</v>
      </c>
      <c r="AL54" s="13">
        <v>8.8568868370576102</v>
      </c>
      <c r="AM54" s="14">
        <v>1</v>
      </c>
      <c r="AN54" s="14">
        <v>1</v>
      </c>
      <c r="AO54" s="3">
        <f t="shared" ref="AO54:AO57" si="7">AN54/AM54</f>
        <v>1</v>
      </c>
      <c r="AP54" s="14">
        <v>1</v>
      </c>
      <c r="AQ54" s="14">
        <v>9</v>
      </c>
      <c r="AR54" s="3">
        <f t="shared" si="0"/>
        <v>0.1111111111111111</v>
      </c>
      <c r="AZ54" s="1">
        <f t="shared" si="1"/>
        <v>0</v>
      </c>
    </row>
    <row r="55" spans="1:52" ht="15.75" customHeight="1" x14ac:dyDescent="0.3">
      <c r="A55" s="1" t="s">
        <v>273</v>
      </c>
      <c r="B55" s="2" t="s">
        <v>274</v>
      </c>
      <c r="C55" s="2">
        <v>260000008</v>
      </c>
      <c r="D55" s="1" t="s">
        <v>113</v>
      </c>
      <c r="E55" s="1" t="s">
        <v>114</v>
      </c>
      <c r="F55" s="1" t="s">
        <v>67</v>
      </c>
      <c r="G55" s="1" t="s">
        <v>68</v>
      </c>
      <c r="H55" s="1" t="s">
        <v>69</v>
      </c>
      <c r="I55" s="1" t="s">
        <v>70</v>
      </c>
      <c r="J55" s="1" t="s">
        <v>71</v>
      </c>
      <c r="K55" s="1">
        <v>10</v>
      </c>
      <c r="L55" s="1" t="s">
        <v>115</v>
      </c>
      <c r="M55" s="1" t="s">
        <v>73</v>
      </c>
      <c r="N55" s="1" t="s">
        <v>74</v>
      </c>
      <c r="O55" s="1" t="s">
        <v>74</v>
      </c>
      <c r="P55" s="1" t="s">
        <v>8</v>
      </c>
      <c r="Q55" s="1" t="s">
        <v>80</v>
      </c>
      <c r="R55" s="1" t="s">
        <v>275</v>
      </c>
      <c r="S55" s="2"/>
      <c r="X55" s="1">
        <v>21</v>
      </c>
      <c r="Y55" s="1">
        <v>25</v>
      </c>
      <c r="Z55" s="1">
        <v>25</v>
      </c>
      <c r="AA55" s="1">
        <v>30</v>
      </c>
      <c r="AB55" s="1">
        <v>24</v>
      </c>
      <c r="AC55" s="1">
        <v>29</v>
      </c>
      <c r="AD55" s="1">
        <v>27</v>
      </c>
      <c r="AE55" s="1" t="s">
        <v>77</v>
      </c>
      <c r="AF55" s="12">
        <v>24</v>
      </c>
      <c r="AG55" s="12">
        <v>8</v>
      </c>
      <c r="AH55" s="12">
        <v>16</v>
      </c>
      <c r="AI55" s="13">
        <v>45.791666666666664</v>
      </c>
      <c r="AJ55" s="13">
        <v>64</v>
      </c>
      <c r="AK55" s="13">
        <v>28</v>
      </c>
      <c r="AL55" s="13">
        <v>9.9781464108872218</v>
      </c>
      <c r="AM55" s="14">
        <v>9</v>
      </c>
      <c r="AN55" s="14">
        <v>6</v>
      </c>
      <c r="AO55" s="3">
        <f t="shared" si="7"/>
        <v>0.66666666666666663</v>
      </c>
      <c r="AP55" s="14">
        <v>0</v>
      </c>
      <c r="AQ55" s="14">
        <v>24</v>
      </c>
      <c r="AR55" s="3">
        <f t="shared" si="0"/>
        <v>0</v>
      </c>
      <c r="AS55" s="1">
        <v>0</v>
      </c>
      <c r="AT55" s="1">
        <v>1</v>
      </c>
      <c r="AU55" s="1">
        <v>0</v>
      </c>
      <c r="AV55" s="1">
        <v>1</v>
      </c>
      <c r="AW55" s="1">
        <v>0</v>
      </c>
      <c r="AX55" s="1">
        <v>0</v>
      </c>
      <c r="AY55" s="1">
        <v>2</v>
      </c>
      <c r="AZ55" s="1">
        <f t="shared" si="1"/>
        <v>4</v>
      </c>
    </row>
    <row r="56" spans="1:52" ht="15.75" customHeight="1" x14ac:dyDescent="0.3">
      <c r="A56" s="1" t="s">
        <v>276</v>
      </c>
      <c r="B56" s="2" t="s">
        <v>277</v>
      </c>
      <c r="C56" s="2">
        <v>160000001</v>
      </c>
      <c r="D56" s="1" t="s">
        <v>123</v>
      </c>
      <c r="E56" s="1" t="s">
        <v>124</v>
      </c>
      <c r="F56" s="1" t="s">
        <v>67</v>
      </c>
      <c r="G56" s="1" t="s">
        <v>86</v>
      </c>
      <c r="H56" s="1" t="s">
        <v>87</v>
      </c>
      <c r="I56" s="1" t="s">
        <v>70</v>
      </c>
      <c r="J56" s="1" t="s">
        <v>125</v>
      </c>
      <c r="K56" s="1">
        <v>10</v>
      </c>
      <c r="L56" s="1" t="s">
        <v>74</v>
      </c>
      <c r="M56" s="1" t="s">
        <v>73</v>
      </c>
      <c r="N56" s="1" t="s">
        <v>74</v>
      </c>
      <c r="O56" s="1" t="s">
        <v>74</v>
      </c>
      <c r="P56" s="1" t="s">
        <v>8</v>
      </c>
      <c r="Q56" s="1" t="s">
        <v>90</v>
      </c>
      <c r="R56" s="1" t="s">
        <v>278</v>
      </c>
      <c r="S56" s="2"/>
      <c r="T56" s="1">
        <v>34</v>
      </c>
      <c r="U56" s="1">
        <v>46</v>
      </c>
      <c r="V56" s="1">
        <v>70</v>
      </c>
      <c r="W56" s="1">
        <v>54</v>
      </c>
      <c r="Y56" s="1">
        <v>60</v>
      </c>
      <c r="Z56" s="1">
        <v>37</v>
      </c>
      <c r="AC56" s="1">
        <v>28</v>
      </c>
      <c r="AD56" s="1">
        <v>2</v>
      </c>
      <c r="AE56" s="1" t="s">
        <v>93</v>
      </c>
      <c r="AF56" s="15">
        <v>56</v>
      </c>
      <c r="AG56" s="15">
        <v>18</v>
      </c>
      <c r="AH56" s="15">
        <v>38</v>
      </c>
      <c r="AI56" s="13">
        <v>46.25925925925926</v>
      </c>
      <c r="AJ56" s="13">
        <v>70</v>
      </c>
      <c r="AK56" s="13">
        <v>70</v>
      </c>
      <c r="AL56" s="13">
        <v>33</v>
      </c>
      <c r="AM56" s="14">
        <v>7</v>
      </c>
      <c r="AN56" s="14">
        <v>6</v>
      </c>
      <c r="AO56" s="3">
        <f t="shared" si="7"/>
        <v>0.8571428571428571</v>
      </c>
      <c r="AP56" s="14">
        <v>2</v>
      </c>
      <c r="AQ56" s="14">
        <v>54</v>
      </c>
      <c r="AR56" s="3">
        <f t="shared" si="0"/>
        <v>3.7037037037037035E-2</v>
      </c>
      <c r="AS56" s="1">
        <v>0</v>
      </c>
      <c r="AT56" s="1">
        <v>1</v>
      </c>
      <c r="AU56" s="1">
        <v>8</v>
      </c>
      <c r="AV56" s="1">
        <v>23</v>
      </c>
      <c r="AW56" s="1">
        <v>0</v>
      </c>
      <c r="AX56" s="1">
        <v>0</v>
      </c>
      <c r="AY56" s="1">
        <v>14</v>
      </c>
      <c r="AZ56" s="1">
        <f t="shared" si="1"/>
        <v>46</v>
      </c>
    </row>
    <row r="57" spans="1:52" ht="15.75" customHeight="1" x14ac:dyDescent="0.3">
      <c r="A57" s="1" t="s">
        <v>279</v>
      </c>
      <c r="B57" s="2" t="s">
        <v>280</v>
      </c>
      <c r="C57" s="2">
        <v>160000001</v>
      </c>
      <c r="D57" s="1" t="s">
        <v>123</v>
      </c>
      <c r="E57" s="1" t="s">
        <v>124</v>
      </c>
      <c r="F57" s="1" t="s">
        <v>67</v>
      </c>
      <c r="G57" s="1" t="s">
        <v>86</v>
      </c>
      <c r="H57" s="1" t="s">
        <v>87</v>
      </c>
      <c r="I57" s="1" t="s">
        <v>70</v>
      </c>
      <c r="J57" s="1" t="s">
        <v>125</v>
      </c>
      <c r="K57" s="1">
        <v>10</v>
      </c>
      <c r="L57" s="1" t="s">
        <v>74</v>
      </c>
      <c r="M57" s="1" t="s">
        <v>73</v>
      </c>
      <c r="N57" s="1" t="s">
        <v>74</v>
      </c>
      <c r="O57" s="1" t="s">
        <v>74</v>
      </c>
      <c r="P57" s="1" t="s">
        <v>8</v>
      </c>
      <c r="Q57" s="1" t="s">
        <v>80</v>
      </c>
      <c r="R57" s="1" t="s">
        <v>281</v>
      </c>
      <c r="S57" s="2"/>
      <c r="T57" s="1">
        <v>12</v>
      </c>
      <c r="U57" s="1">
        <v>12</v>
      </c>
      <c r="V57" s="1">
        <v>26</v>
      </c>
      <c r="W57" s="1">
        <v>29</v>
      </c>
      <c r="Y57" s="1">
        <v>33</v>
      </c>
      <c r="Z57" s="1">
        <v>32</v>
      </c>
      <c r="AC57" s="1">
        <v>29</v>
      </c>
      <c r="AD57" s="1">
        <v>34</v>
      </c>
      <c r="AE57" s="1" t="s">
        <v>93</v>
      </c>
      <c r="AF57" s="15">
        <v>58</v>
      </c>
      <c r="AG57" s="15">
        <v>18</v>
      </c>
      <c r="AH57" s="15">
        <v>40</v>
      </c>
      <c r="AI57" s="13">
        <v>46.310344827586206</v>
      </c>
      <c r="AJ57" s="13">
        <v>64</v>
      </c>
      <c r="AK57" s="13">
        <v>64</v>
      </c>
      <c r="AL57" s="13">
        <v>31</v>
      </c>
      <c r="AM57" s="14">
        <v>19</v>
      </c>
      <c r="AN57" s="14">
        <v>19</v>
      </c>
      <c r="AO57" s="3">
        <f t="shared" si="7"/>
        <v>1</v>
      </c>
      <c r="AP57" s="14">
        <v>6</v>
      </c>
      <c r="AQ57" s="14">
        <v>52</v>
      </c>
      <c r="AR57" s="3">
        <f t="shared" si="0"/>
        <v>0.11538461538461539</v>
      </c>
      <c r="AS57" s="1">
        <v>0</v>
      </c>
      <c r="AT57" s="1">
        <v>6</v>
      </c>
      <c r="AU57" s="1">
        <v>0</v>
      </c>
      <c r="AV57" s="1">
        <v>12</v>
      </c>
      <c r="AW57" s="1">
        <v>0</v>
      </c>
      <c r="AX57" s="1">
        <v>8</v>
      </c>
      <c r="AY57" s="1">
        <v>7</v>
      </c>
      <c r="AZ57" s="1">
        <f t="shared" si="1"/>
        <v>33</v>
      </c>
    </row>
    <row r="58" spans="1:52" ht="15.75" customHeight="1" x14ac:dyDescent="0.3">
      <c r="A58" s="1" t="s">
        <v>282</v>
      </c>
      <c r="B58" s="2" t="s">
        <v>283</v>
      </c>
      <c r="C58" s="2">
        <v>260000019</v>
      </c>
      <c r="D58" s="1" t="s">
        <v>96</v>
      </c>
      <c r="E58" s="1" t="s">
        <v>97</v>
      </c>
      <c r="F58" s="1" t="s">
        <v>67</v>
      </c>
      <c r="G58" s="1" t="s">
        <v>68</v>
      </c>
      <c r="H58" s="1" t="s">
        <v>69</v>
      </c>
      <c r="I58" s="1" t="s">
        <v>70</v>
      </c>
      <c r="J58" s="1" t="s">
        <v>98</v>
      </c>
      <c r="K58" s="1">
        <v>6</v>
      </c>
      <c r="L58" s="1" t="s">
        <v>99</v>
      </c>
      <c r="M58" s="1" t="s">
        <v>73</v>
      </c>
      <c r="N58" s="1" t="s">
        <v>74</v>
      </c>
      <c r="O58" s="1" t="s">
        <v>74</v>
      </c>
      <c r="P58" s="1" t="s">
        <v>8</v>
      </c>
      <c r="Q58" s="1" t="s">
        <v>80</v>
      </c>
      <c r="R58" s="1" t="s">
        <v>284</v>
      </c>
      <c r="S58" s="2"/>
      <c r="T58" s="1">
        <v>3</v>
      </c>
      <c r="U58" s="1">
        <v>14</v>
      </c>
      <c r="X58" s="1">
        <v>11</v>
      </c>
      <c r="Z58" s="1">
        <v>6</v>
      </c>
      <c r="AA58" s="1">
        <v>6</v>
      </c>
      <c r="AE58" s="1" t="s">
        <v>285</v>
      </c>
      <c r="AF58" s="12">
        <v>12</v>
      </c>
      <c r="AG58" s="12">
        <v>6</v>
      </c>
      <c r="AH58" s="12">
        <v>6</v>
      </c>
      <c r="AI58" s="12">
        <v>46.5</v>
      </c>
      <c r="AJ58" s="12">
        <v>58</v>
      </c>
      <c r="AK58" s="12">
        <v>35</v>
      </c>
      <c r="AL58" s="12">
        <v>7.1541469220178993</v>
      </c>
      <c r="AM58" s="14"/>
      <c r="AN58" s="14"/>
      <c r="AO58" s="3"/>
      <c r="AP58" s="14">
        <v>0</v>
      </c>
      <c r="AQ58" s="14">
        <v>12</v>
      </c>
      <c r="AR58" s="3">
        <f t="shared" si="0"/>
        <v>0</v>
      </c>
      <c r="AS58" s="1">
        <v>0</v>
      </c>
      <c r="AT58" s="1">
        <v>2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f t="shared" si="1"/>
        <v>2</v>
      </c>
    </row>
    <row r="59" spans="1:52" ht="15.75" customHeight="1" x14ac:dyDescent="0.3">
      <c r="A59" s="1" t="s">
        <v>286</v>
      </c>
      <c r="B59" s="2" t="s">
        <v>287</v>
      </c>
      <c r="C59" s="2">
        <v>160000001</v>
      </c>
      <c r="D59" s="1" t="s">
        <v>123</v>
      </c>
      <c r="E59" s="1" t="s">
        <v>124</v>
      </c>
      <c r="F59" s="1" t="s">
        <v>67</v>
      </c>
      <c r="G59" s="1" t="s">
        <v>86</v>
      </c>
      <c r="H59" s="1" t="s">
        <v>87</v>
      </c>
      <c r="I59" s="1" t="s">
        <v>70</v>
      </c>
      <c r="J59" s="1" t="s">
        <v>125</v>
      </c>
      <c r="K59" s="1">
        <v>10</v>
      </c>
      <c r="L59" s="1" t="s">
        <v>74</v>
      </c>
      <c r="M59" s="1" t="s">
        <v>73</v>
      </c>
      <c r="N59" s="1" t="s">
        <v>74</v>
      </c>
      <c r="O59" s="1" t="s">
        <v>74</v>
      </c>
      <c r="P59" s="1" t="s">
        <v>8</v>
      </c>
      <c r="Q59" s="1" t="s">
        <v>80</v>
      </c>
      <c r="R59" s="1" t="s">
        <v>288</v>
      </c>
      <c r="S59" s="2"/>
      <c r="T59" s="1">
        <v>70</v>
      </c>
      <c r="U59" s="1">
        <v>92</v>
      </c>
      <c r="V59" s="1">
        <v>111</v>
      </c>
      <c r="W59" s="1">
        <v>126</v>
      </c>
      <c r="Y59" s="1">
        <v>117</v>
      </c>
      <c r="Z59" s="1">
        <v>109</v>
      </c>
      <c r="AC59" s="1">
        <v>94</v>
      </c>
      <c r="AD59" s="1">
        <v>63</v>
      </c>
      <c r="AE59" s="1" t="s">
        <v>93</v>
      </c>
      <c r="AF59" s="15">
        <v>188</v>
      </c>
      <c r="AG59" s="15">
        <v>100</v>
      </c>
      <c r="AH59" s="15">
        <v>88</v>
      </c>
      <c r="AI59" s="13">
        <v>47.13978494623656</v>
      </c>
      <c r="AJ59" s="13">
        <v>68</v>
      </c>
      <c r="AK59" s="13">
        <v>68</v>
      </c>
      <c r="AL59" s="13">
        <v>28</v>
      </c>
      <c r="AM59" s="14">
        <v>33</v>
      </c>
      <c r="AN59" s="14">
        <v>33</v>
      </c>
      <c r="AO59" s="3">
        <f>AN59/AM59</f>
        <v>1</v>
      </c>
      <c r="AP59" s="14">
        <v>0</v>
      </c>
      <c r="AQ59" s="14">
        <v>188</v>
      </c>
      <c r="AR59" s="3">
        <f t="shared" si="0"/>
        <v>0</v>
      </c>
      <c r="AS59" s="1">
        <v>11</v>
      </c>
      <c r="AT59" s="1">
        <v>23</v>
      </c>
      <c r="AU59" s="1">
        <v>15</v>
      </c>
      <c r="AV59" s="1">
        <v>20</v>
      </c>
      <c r="AW59" s="1">
        <v>0</v>
      </c>
      <c r="AX59" s="1">
        <v>13</v>
      </c>
      <c r="AY59" s="1">
        <v>23</v>
      </c>
      <c r="AZ59" s="1">
        <f t="shared" si="1"/>
        <v>105</v>
      </c>
    </row>
    <row r="60" spans="1:52" ht="15.75" customHeight="1" x14ac:dyDescent="0.3">
      <c r="A60" s="1" t="s">
        <v>289</v>
      </c>
      <c r="B60" s="2" t="s">
        <v>290</v>
      </c>
      <c r="C60" s="2">
        <v>160000001</v>
      </c>
      <c r="D60" s="1" t="s">
        <v>123</v>
      </c>
      <c r="E60" s="1" t="s">
        <v>124</v>
      </c>
      <c r="F60" s="1" t="s">
        <v>67</v>
      </c>
      <c r="G60" s="1" t="s">
        <v>86</v>
      </c>
      <c r="H60" s="1" t="s">
        <v>87</v>
      </c>
      <c r="I60" s="1" t="s">
        <v>70</v>
      </c>
      <c r="J60" s="1" t="s">
        <v>125</v>
      </c>
      <c r="K60" s="1">
        <v>10</v>
      </c>
      <c r="L60" s="1" t="s">
        <v>74</v>
      </c>
      <c r="M60" s="1" t="s">
        <v>73</v>
      </c>
      <c r="N60" s="1" t="s">
        <v>74</v>
      </c>
      <c r="O60" s="1" t="s">
        <v>74</v>
      </c>
      <c r="P60" s="1" t="s">
        <v>8</v>
      </c>
      <c r="Q60" s="1" t="s">
        <v>80</v>
      </c>
      <c r="R60" s="1" t="s">
        <v>291</v>
      </c>
      <c r="S60" s="2"/>
      <c r="T60" s="1">
        <v>26</v>
      </c>
      <c r="U60" s="1">
        <v>11</v>
      </c>
      <c r="V60" s="1">
        <v>36</v>
      </c>
      <c r="W60" s="1">
        <v>29</v>
      </c>
      <c r="Y60" s="1">
        <v>21</v>
      </c>
      <c r="Z60" s="1">
        <v>17</v>
      </c>
      <c r="AC60" s="1">
        <v>7</v>
      </c>
      <c r="AE60" s="1" t="s">
        <v>93</v>
      </c>
      <c r="AF60" s="15">
        <v>14</v>
      </c>
      <c r="AG60" s="15">
        <v>0</v>
      </c>
      <c r="AH60" s="15">
        <v>14</v>
      </c>
      <c r="AI60" s="13">
        <v>47.285714285714285</v>
      </c>
      <c r="AJ60" s="13">
        <v>59</v>
      </c>
      <c r="AK60" s="13">
        <v>59</v>
      </c>
      <c r="AL60" s="13">
        <v>33</v>
      </c>
      <c r="AM60" s="14"/>
      <c r="AN60" s="14"/>
      <c r="AO60" s="3"/>
      <c r="AP60" s="14">
        <v>0</v>
      </c>
      <c r="AQ60" s="14">
        <v>14</v>
      </c>
      <c r="AR60" s="3">
        <f t="shared" si="0"/>
        <v>0</v>
      </c>
      <c r="AS60" s="1">
        <v>0</v>
      </c>
      <c r="AT60" s="1">
        <v>5</v>
      </c>
      <c r="AU60" s="1">
        <v>3</v>
      </c>
      <c r="AV60" s="1">
        <v>5</v>
      </c>
      <c r="AW60" s="1">
        <v>0</v>
      </c>
      <c r="AX60" s="1">
        <v>3</v>
      </c>
      <c r="AY60" s="1">
        <v>1</v>
      </c>
      <c r="AZ60" s="1">
        <f t="shared" si="1"/>
        <v>17</v>
      </c>
    </row>
    <row r="61" spans="1:52" ht="15.75" customHeight="1" x14ac:dyDescent="0.3">
      <c r="A61" s="1" t="s">
        <v>292</v>
      </c>
      <c r="B61" s="2" t="s">
        <v>293</v>
      </c>
      <c r="C61" s="2">
        <v>260000014</v>
      </c>
      <c r="D61" s="1" t="s">
        <v>65</v>
      </c>
      <c r="E61" s="1" t="s">
        <v>66</v>
      </c>
      <c r="F61" s="1" t="s">
        <v>67</v>
      </c>
      <c r="G61" s="1" t="s">
        <v>68</v>
      </c>
      <c r="H61" s="1" t="s">
        <v>69</v>
      </c>
      <c r="I61" s="1" t="s">
        <v>70</v>
      </c>
      <c r="J61" s="1" t="s">
        <v>71</v>
      </c>
      <c r="K61" s="1">
        <v>10</v>
      </c>
      <c r="L61" s="1" t="s">
        <v>72</v>
      </c>
      <c r="M61" s="1" t="s">
        <v>73</v>
      </c>
      <c r="N61" s="1" t="s">
        <v>74</v>
      </c>
      <c r="O61" s="1" t="s">
        <v>74</v>
      </c>
      <c r="P61" s="1" t="s">
        <v>8</v>
      </c>
      <c r="Q61" s="1" t="s">
        <v>75</v>
      </c>
      <c r="R61" s="1" t="s">
        <v>294</v>
      </c>
      <c r="S61" s="2"/>
      <c r="AB61" s="1">
        <v>6</v>
      </c>
      <c r="AE61" s="1" t="s">
        <v>77</v>
      </c>
      <c r="AF61" s="12">
        <v>6</v>
      </c>
      <c r="AG61" s="12">
        <v>2</v>
      </c>
      <c r="AH61" s="12">
        <v>4</v>
      </c>
      <c r="AI61" s="13">
        <v>47.333333333333336</v>
      </c>
      <c r="AJ61" s="13">
        <v>56</v>
      </c>
      <c r="AK61" s="13">
        <v>31</v>
      </c>
      <c r="AL61" s="13">
        <v>8.8919439194512915</v>
      </c>
      <c r="AM61" s="14">
        <v>7</v>
      </c>
      <c r="AN61" s="14">
        <v>7</v>
      </c>
      <c r="AO61" s="3">
        <f t="shared" ref="AO61:AO65" si="8">AN61/AM61</f>
        <v>1</v>
      </c>
      <c r="AP61" s="14">
        <v>0</v>
      </c>
      <c r="AQ61" s="14">
        <v>6</v>
      </c>
      <c r="AR61" s="3">
        <f t="shared" si="0"/>
        <v>0</v>
      </c>
      <c r="AZ61" s="1">
        <f t="shared" si="1"/>
        <v>0</v>
      </c>
    </row>
    <row r="62" spans="1:52" ht="15.75" customHeight="1" x14ac:dyDescent="0.3">
      <c r="A62" s="1" t="s">
        <v>295</v>
      </c>
      <c r="B62" s="2" t="s">
        <v>296</v>
      </c>
      <c r="C62" s="2">
        <v>160000001</v>
      </c>
      <c r="D62" s="1" t="s">
        <v>123</v>
      </c>
      <c r="E62" s="1" t="s">
        <v>124</v>
      </c>
      <c r="F62" s="1" t="s">
        <v>67</v>
      </c>
      <c r="G62" s="1" t="s">
        <v>86</v>
      </c>
      <c r="H62" s="1" t="s">
        <v>87</v>
      </c>
      <c r="I62" s="1" t="s">
        <v>70</v>
      </c>
      <c r="J62" s="1" t="s">
        <v>125</v>
      </c>
      <c r="K62" s="1">
        <v>10</v>
      </c>
      <c r="L62" s="1" t="s">
        <v>74</v>
      </c>
      <c r="M62" s="1" t="s">
        <v>73</v>
      </c>
      <c r="N62" s="1" t="s">
        <v>74</v>
      </c>
      <c r="O62" s="1" t="s">
        <v>74</v>
      </c>
      <c r="P62" s="1" t="s">
        <v>8</v>
      </c>
      <c r="Q62" s="1" t="s">
        <v>136</v>
      </c>
      <c r="R62" s="1" t="s">
        <v>297</v>
      </c>
      <c r="S62" s="2"/>
      <c r="T62" s="1">
        <v>5</v>
      </c>
      <c r="U62" s="1">
        <v>7</v>
      </c>
      <c r="V62" s="1">
        <v>12</v>
      </c>
      <c r="W62" s="1">
        <v>11</v>
      </c>
      <c r="Y62" s="1">
        <v>13</v>
      </c>
      <c r="Z62" s="1">
        <v>10</v>
      </c>
      <c r="AC62" s="1">
        <v>6</v>
      </c>
      <c r="AD62" s="1">
        <v>2</v>
      </c>
      <c r="AE62" s="1" t="s">
        <v>93</v>
      </c>
      <c r="AF62" s="15">
        <v>12</v>
      </c>
      <c r="AG62" s="15">
        <v>8</v>
      </c>
      <c r="AH62" s="15">
        <v>4</v>
      </c>
      <c r="AI62" s="13">
        <v>47.333333333333336</v>
      </c>
      <c r="AJ62" s="13">
        <v>56</v>
      </c>
      <c r="AK62" s="13">
        <v>56</v>
      </c>
      <c r="AL62" s="13">
        <v>40</v>
      </c>
      <c r="AM62" s="14">
        <v>4</v>
      </c>
      <c r="AN62" s="14">
        <v>4</v>
      </c>
      <c r="AO62" s="3">
        <f t="shared" si="8"/>
        <v>1</v>
      </c>
      <c r="AP62" s="14">
        <v>0</v>
      </c>
      <c r="AQ62" s="14">
        <v>12</v>
      </c>
      <c r="AR62" s="3">
        <f t="shared" si="0"/>
        <v>0</v>
      </c>
      <c r="AS62" s="1">
        <v>0</v>
      </c>
      <c r="AT62" s="1">
        <v>2</v>
      </c>
      <c r="AU62" s="1">
        <v>1</v>
      </c>
      <c r="AV62" s="1">
        <v>6</v>
      </c>
      <c r="AW62" s="1">
        <v>0</v>
      </c>
      <c r="AX62" s="1">
        <v>1</v>
      </c>
      <c r="AY62" s="1">
        <v>3</v>
      </c>
      <c r="AZ62" s="1">
        <f t="shared" si="1"/>
        <v>13</v>
      </c>
    </row>
    <row r="63" spans="1:52" ht="15.75" customHeight="1" x14ac:dyDescent="0.3">
      <c r="A63" s="1" t="s">
        <v>298</v>
      </c>
      <c r="B63" s="2" t="s">
        <v>299</v>
      </c>
      <c r="C63" s="2">
        <v>260000019</v>
      </c>
      <c r="D63" s="1" t="s">
        <v>96</v>
      </c>
      <c r="E63" s="1" t="s">
        <v>97</v>
      </c>
      <c r="F63" s="1" t="s">
        <v>67</v>
      </c>
      <c r="G63" s="1" t="s">
        <v>68</v>
      </c>
      <c r="H63" s="1" t="s">
        <v>69</v>
      </c>
      <c r="I63" s="1" t="s">
        <v>70</v>
      </c>
      <c r="J63" s="1" t="s">
        <v>98</v>
      </c>
      <c r="K63" s="1">
        <v>6</v>
      </c>
      <c r="L63" s="1" t="s">
        <v>99</v>
      </c>
      <c r="M63" s="1" t="s">
        <v>73</v>
      </c>
      <c r="N63" s="1" t="s">
        <v>74</v>
      </c>
      <c r="O63" s="1" t="s">
        <v>74</v>
      </c>
      <c r="P63" s="1" t="s">
        <v>8</v>
      </c>
      <c r="Q63" s="1" t="s">
        <v>80</v>
      </c>
      <c r="R63" s="1" t="s">
        <v>300</v>
      </c>
      <c r="S63" s="2"/>
      <c r="T63" s="1">
        <v>26</v>
      </c>
      <c r="U63" s="1">
        <v>111</v>
      </c>
      <c r="X63" s="1">
        <v>143</v>
      </c>
      <c r="Z63" s="1">
        <v>94</v>
      </c>
      <c r="AA63" s="1">
        <v>72</v>
      </c>
      <c r="AB63" s="1">
        <v>86</v>
      </c>
      <c r="AD63" s="1">
        <v>55</v>
      </c>
      <c r="AE63" s="1" t="s">
        <v>77</v>
      </c>
      <c r="AF63" s="12">
        <v>86</v>
      </c>
      <c r="AG63" s="12">
        <v>48</v>
      </c>
      <c r="AH63" s="12">
        <v>38</v>
      </c>
      <c r="AI63" s="13">
        <v>47.488372093023258</v>
      </c>
      <c r="AJ63" s="13">
        <v>67</v>
      </c>
      <c r="AK63" s="13">
        <v>29</v>
      </c>
      <c r="AL63" s="13">
        <v>10.112012874673624</v>
      </c>
      <c r="AM63" s="14">
        <v>58</v>
      </c>
      <c r="AN63" s="14">
        <v>58</v>
      </c>
      <c r="AO63" s="3">
        <f t="shared" si="8"/>
        <v>1</v>
      </c>
      <c r="AP63" s="14">
        <v>3</v>
      </c>
      <c r="AQ63" s="14">
        <v>83</v>
      </c>
      <c r="AR63" s="3">
        <f t="shared" si="0"/>
        <v>3.614457831325301E-2</v>
      </c>
      <c r="AS63" s="1">
        <v>11</v>
      </c>
      <c r="AT63" s="1">
        <v>23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f t="shared" si="1"/>
        <v>34</v>
      </c>
    </row>
    <row r="64" spans="1:52" ht="15.75" customHeight="1" x14ac:dyDescent="0.3">
      <c r="A64" s="1" t="s">
        <v>301</v>
      </c>
      <c r="B64" s="2" t="s">
        <v>302</v>
      </c>
      <c r="C64" s="2">
        <v>260000019</v>
      </c>
      <c r="D64" s="1" t="s">
        <v>96</v>
      </c>
      <c r="E64" s="1" t="s">
        <v>97</v>
      </c>
      <c r="F64" s="1" t="s">
        <v>67</v>
      </c>
      <c r="G64" s="1" t="s">
        <v>68</v>
      </c>
      <c r="H64" s="1" t="s">
        <v>69</v>
      </c>
      <c r="I64" s="1" t="s">
        <v>70</v>
      </c>
      <c r="J64" s="1" t="s">
        <v>98</v>
      </c>
      <c r="K64" s="1">
        <v>6</v>
      </c>
      <c r="L64" s="1" t="s">
        <v>99</v>
      </c>
      <c r="M64" s="1" t="s">
        <v>73</v>
      </c>
      <c r="N64" s="1" t="s">
        <v>74</v>
      </c>
      <c r="O64" s="1" t="s">
        <v>74</v>
      </c>
      <c r="P64" s="1" t="s">
        <v>8</v>
      </c>
      <c r="Q64" s="1" t="s">
        <v>80</v>
      </c>
      <c r="R64" s="1" t="s">
        <v>303</v>
      </c>
      <c r="S64" s="2"/>
      <c r="T64" s="1">
        <v>12</v>
      </c>
      <c r="U64" s="1">
        <v>63</v>
      </c>
      <c r="X64" s="1">
        <v>34</v>
      </c>
      <c r="Z64" s="1">
        <v>15</v>
      </c>
      <c r="AA64" s="1">
        <v>11</v>
      </c>
      <c r="AB64" s="1">
        <v>10</v>
      </c>
      <c r="AD64" s="1">
        <v>15</v>
      </c>
      <c r="AE64" s="1" t="s">
        <v>77</v>
      </c>
      <c r="AF64" s="12">
        <v>10</v>
      </c>
      <c r="AG64" s="12">
        <v>5</v>
      </c>
      <c r="AH64" s="12">
        <v>5</v>
      </c>
      <c r="AI64" s="13">
        <v>47.8</v>
      </c>
      <c r="AJ64" s="13">
        <v>62</v>
      </c>
      <c r="AK64" s="13">
        <v>33</v>
      </c>
      <c r="AL64" s="13">
        <v>10.271860158272743</v>
      </c>
      <c r="AM64" s="14">
        <v>10</v>
      </c>
      <c r="AN64" s="14">
        <v>10</v>
      </c>
      <c r="AO64" s="3">
        <f t="shared" si="8"/>
        <v>1</v>
      </c>
      <c r="AP64" s="14">
        <v>0</v>
      </c>
      <c r="AQ64" s="14">
        <v>10</v>
      </c>
      <c r="AR64" s="3">
        <f t="shared" si="0"/>
        <v>0</v>
      </c>
      <c r="AS64" s="1">
        <v>9</v>
      </c>
      <c r="AT64" s="1">
        <v>11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f t="shared" si="1"/>
        <v>20</v>
      </c>
    </row>
    <row r="65" spans="1:52" ht="15.75" customHeight="1" x14ac:dyDescent="0.3">
      <c r="A65" s="1" t="s">
        <v>304</v>
      </c>
      <c r="B65" s="2" t="s">
        <v>305</v>
      </c>
      <c r="C65" s="2">
        <v>160000001</v>
      </c>
      <c r="D65" s="1" t="s">
        <v>123</v>
      </c>
      <c r="E65" s="1" t="s">
        <v>124</v>
      </c>
      <c r="F65" s="1" t="s">
        <v>67</v>
      </c>
      <c r="G65" s="1" t="s">
        <v>86</v>
      </c>
      <c r="H65" s="1" t="s">
        <v>87</v>
      </c>
      <c r="I65" s="1" t="s">
        <v>70</v>
      </c>
      <c r="J65" s="1" t="s">
        <v>125</v>
      </c>
      <c r="K65" s="1">
        <v>10</v>
      </c>
      <c r="L65" s="1" t="s">
        <v>74</v>
      </c>
      <c r="M65" s="1" t="s">
        <v>73</v>
      </c>
      <c r="N65" s="1" t="s">
        <v>74</v>
      </c>
      <c r="O65" s="1" t="s">
        <v>74</v>
      </c>
      <c r="P65" s="1" t="s">
        <v>8</v>
      </c>
      <c r="Q65" s="1" t="s">
        <v>136</v>
      </c>
      <c r="R65" s="1" t="s">
        <v>306</v>
      </c>
      <c r="S65" s="2"/>
      <c r="T65" s="1">
        <v>30</v>
      </c>
      <c r="U65" s="1">
        <v>30</v>
      </c>
      <c r="V65" s="1">
        <v>36</v>
      </c>
      <c r="W65" s="1">
        <v>35</v>
      </c>
      <c r="Y65" s="1">
        <v>25</v>
      </c>
      <c r="Z65" s="1">
        <v>13</v>
      </c>
      <c r="AC65" s="1">
        <v>10</v>
      </c>
      <c r="AD65" s="1">
        <v>3</v>
      </c>
      <c r="AE65" s="1" t="s">
        <v>93</v>
      </c>
      <c r="AF65" s="15">
        <v>20</v>
      </c>
      <c r="AG65" s="15">
        <v>6</v>
      </c>
      <c r="AH65" s="15">
        <v>14</v>
      </c>
      <c r="AI65" s="13">
        <v>47.9</v>
      </c>
      <c r="AJ65" s="13">
        <v>59</v>
      </c>
      <c r="AK65" s="13">
        <v>59</v>
      </c>
      <c r="AL65" s="13">
        <v>34</v>
      </c>
      <c r="AM65" s="14">
        <v>7</v>
      </c>
      <c r="AN65" s="14">
        <v>7</v>
      </c>
      <c r="AO65" s="3">
        <f t="shared" si="8"/>
        <v>1</v>
      </c>
      <c r="AP65" s="14">
        <v>2</v>
      </c>
      <c r="AQ65" s="14">
        <v>18</v>
      </c>
      <c r="AR65" s="3">
        <f t="shared" si="0"/>
        <v>0.1111111111111111</v>
      </c>
      <c r="AS65" s="1">
        <v>0</v>
      </c>
      <c r="AT65" s="1">
        <v>8</v>
      </c>
      <c r="AU65" s="1">
        <v>1</v>
      </c>
      <c r="AV65" s="1">
        <v>4</v>
      </c>
      <c r="AW65" s="1">
        <v>0</v>
      </c>
      <c r="AX65" s="1">
        <v>0</v>
      </c>
      <c r="AY65" s="1">
        <v>8</v>
      </c>
      <c r="AZ65" s="1">
        <f t="shared" si="1"/>
        <v>21</v>
      </c>
    </row>
    <row r="66" spans="1:52" ht="15.75" customHeight="1" x14ac:dyDescent="0.3">
      <c r="A66" s="1" t="s">
        <v>307</v>
      </c>
      <c r="B66" s="2" t="s">
        <v>308</v>
      </c>
      <c r="C66" s="2">
        <v>260000019</v>
      </c>
      <c r="D66" s="1" t="s">
        <v>96</v>
      </c>
      <c r="E66" s="1" t="s">
        <v>97</v>
      </c>
      <c r="F66" s="1" t="s">
        <v>67</v>
      </c>
      <c r="G66" s="1" t="s">
        <v>68</v>
      </c>
      <c r="H66" s="1" t="s">
        <v>69</v>
      </c>
      <c r="I66" s="1" t="s">
        <v>70</v>
      </c>
      <c r="J66" s="1" t="s">
        <v>98</v>
      </c>
      <c r="K66" s="1">
        <v>6</v>
      </c>
      <c r="L66" s="1" t="s">
        <v>99</v>
      </c>
      <c r="M66" s="1" t="s">
        <v>73</v>
      </c>
      <c r="N66" s="1" t="s">
        <v>74</v>
      </c>
      <c r="O66" s="1" t="s">
        <v>74</v>
      </c>
      <c r="P66" s="1" t="s">
        <v>8</v>
      </c>
      <c r="Q66" s="1" t="s">
        <v>80</v>
      </c>
      <c r="R66" s="1" t="s">
        <v>309</v>
      </c>
      <c r="S66" s="2"/>
      <c r="T66" s="1">
        <v>10</v>
      </c>
      <c r="U66" s="1">
        <v>45</v>
      </c>
      <c r="X66" s="1">
        <v>46</v>
      </c>
      <c r="Z66" s="1">
        <v>26</v>
      </c>
      <c r="AA66" s="1">
        <v>17</v>
      </c>
      <c r="AB66" s="1">
        <v>16</v>
      </c>
      <c r="AD66" s="1">
        <v>1</v>
      </c>
      <c r="AE66" s="1" t="s">
        <v>77</v>
      </c>
      <c r="AF66" s="12">
        <v>16</v>
      </c>
      <c r="AG66" s="12">
        <v>10</v>
      </c>
      <c r="AH66" s="12">
        <v>6</v>
      </c>
      <c r="AI66" s="13">
        <v>47.93333333333333</v>
      </c>
      <c r="AJ66" s="13">
        <v>61</v>
      </c>
      <c r="AK66" s="13">
        <v>35</v>
      </c>
      <c r="AL66" s="13">
        <v>8.0397820392156962</v>
      </c>
      <c r="AM66" s="14"/>
      <c r="AN66" s="14"/>
      <c r="AO66" s="3"/>
      <c r="AP66" s="14">
        <v>0</v>
      </c>
      <c r="AQ66" s="14">
        <v>16</v>
      </c>
      <c r="AR66" s="3">
        <f t="shared" si="0"/>
        <v>0</v>
      </c>
      <c r="AS66" s="1">
        <v>8</v>
      </c>
      <c r="AT66" s="1">
        <v>6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f t="shared" si="1"/>
        <v>14</v>
      </c>
    </row>
    <row r="67" spans="1:52" ht="15.75" customHeight="1" x14ac:dyDescent="0.3">
      <c r="A67" s="1" t="s">
        <v>310</v>
      </c>
      <c r="B67" s="2" t="s">
        <v>311</v>
      </c>
      <c r="C67" s="2">
        <v>260000019</v>
      </c>
      <c r="D67" s="1" t="s">
        <v>96</v>
      </c>
      <c r="E67" s="1" t="s">
        <v>97</v>
      </c>
      <c r="F67" s="1" t="s">
        <v>67</v>
      </c>
      <c r="G67" s="1" t="s">
        <v>68</v>
      </c>
      <c r="H67" s="1" t="s">
        <v>69</v>
      </c>
      <c r="I67" s="1" t="s">
        <v>70</v>
      </c>
      <c r="J67" s="1" t="s">
        <v>98</v>
      </c>
      <c r="K67" s="1">
        <v>6</v>
      </c>
      <c r="L67" s="1" t="s">
        <v>99</v>
      </c>
      <c r="M67" s="1" t="s">
        <v>73</v>
      </c>
      <c r="N67" s="1" t="s">
        <v>74</v>
      </c>
      <c r="O67" s="1" t="s">
        <v>74</v>
      </c>
      <c r="P67" s="1" t="s">
        <v>8</v>
      </c>
      <c r="Q67" s="1" t="s">
        <v>80</v>
      </c>
      <c r="R67" s="1" t="s">
        <v>312</v>
      </c>
      <c r="S67" s="2"/>
      <c r="U67" s="1">
        <v>5</v>
      </c>
      <c r="AD67" s="1">
        <v>1</v>
      </c>
      <c r="AE67" s="1" t="s">
        <v>138</v>
      </c>
      <c r="AF67" s="12">
        <v>2</v>
      </c>
      <c r="AG67" s="12">
        <v>2</v>
      </c>
      <c r="AH67" s="12">
        <v>0</v>
      </c>
      <c r="AI67" s="12">
        <v>48</v>
      </c>
      <c r="AJ67" s="12">
        <v>48</v>
      </c>
      <c r="AK67" s="12">
        <v>48</v>
      </c>
      <c r="AL67" s="12">
        <v>0</v>
      </c>
      <c r="AM67" s="14">
        <v>9</v>
      </c>
      <c r="AN67" s="14">
        <v>9</v>
      </c>
      <c r="AO67" s="3">
        <f>AN67/AM67</f>
        <v>1</v>
      </c>
      <c r="AP67" s="14">
        <v>0</v>
      </c>
      <c r="AQ67" s="14">
        <v>2</v>
      </c>
      <c r="AR67" s="3">
        <f t="shared" si="0"/>
        <v>0</v>
      </c>
      <c r="AZ67" s="1">
        <f t="shared" si="1"/>
        <v>0</v>
      </c>
    </row>
    <row r="68" spans="1:52" ht="15.75" customHeight="1" x14ac:dyDescent="0.3">
      <c r="A68" s="1" t="s">
        <v>313</v>
      </c>
      <c r="B68" s="2" t="s">
        <v>314</v>
      </c>
      <c r="C68" s="2">
        <v>260000029</v>
      </c>
      <c r="D68" s="1" t="s">
        <v>146</v>
      </c>
      <c r="E68" s="1" t="s">
        <v>147</v>
      </c>
      <c r="F68" s="1" t="s">
        <v>67</v>
      </c>
      <c r="G68" s="1" t="s">
        <v>68</v>
      </c>
      <c r="H68" s="1" t="s">
        <v>69</v>
      </c>
      <c r="I68" s="1" t="s">
        <v>70</v>
      </c>
      <c r="J68" s="1" t="s">
        <v>131</v>
      </c>
      <c r="K68" s="1">
        <v>8</v>
      </c>
      <c r="L68" s="1" t="s">
        <v>148</v>
      </c>
      <c r="M68" s="1" t="s">
        <v>149</v>
      </c>
      <c r="N68" s="1" t="s">
        <v>148</v>
      </c>
      <c r="O68" s="1" t="s">
        <v>150</v>
      </c>
      <c r="P68" s="1" t="s">
        <v>8</v>
      </c>
      <c r="Q68" s="1" t="s">
        <v>80</v>
      </c>
      <c r="R68" s="1" t="s">
        <v>315</v>
      </c>
      <c r="S68" s="2"/>
      <c r="T68" s="1">
        <v>18</v>
      </c>
      <c r="AE68" s="1" t="s">
        <v>110</v>
      </c>
      <c r="AF68" s="12">
        <v>36</v>
      </c>
      <c r="AG68" s="12">
        <v>22</v>
      </c>
      <c r="AH68" s="12">
        <v>14</v>
      </c>
      <c r="AI68" s="12">
        <v>48.166666666666664</v>
      </c>
      <c r="AJ68" s="12">
        <v>64</v>
      </c>
      <c r="AK68" s="12">
        <v>35</v>
      </c>
      <c r="AL68" s="12">
        <v>7.5687326736854885</v>
      </c>
      <c r="AM68" s="14"/>
      <c r="AN68" s="14"/>
      <c r="AO68" s="3"/>
      <c r="AP68" s="14">
        <v>0</v>
      </c>
      <c r="AQ68" s="14">
        <v>36</v>
      </c>
      <c r="AR68" s="3">
        <f t="shared" si="0"/>
        <v>0</v>
      </c>
      <c r="AZ68" s="1">
        <f t="shared" si="1"/>
        <v>0</v>
      </c>
    </row>
    <row r="69" spans="1:52" ht="15.75" customHeight="1" x14ac:dyDescent="0.3">
      <c r="A69" s="1" t="s">
        <v>316</v>
      </c>
      <c r="B69" s="2" t="s">
        <v>317</v>
      </c>
      <c r="C69" s="2">
        <v>260000008</v>
      </c>
      <c r="D69" s="1" t="s">
        <v>113</v>
      </c>
      <c r="E69" s="1" t="s">
        <v>114</v>
      </c>
      <c r="F69" s="1" t="s">
        <v>67</v>
      </c>
      <c r="G69" s="1" t="s">
        <v>68</v>
      </c>
      <c r="H69" s="1" t="s">
        <v>69</v>
      </c>
      <c r="I69" s="1" t="s">
        <v>70</v>
      </c>
      <c r="J69" s="1" t="s">
        <v>71</v>
      </c>
      <c r="K69" s="1">
        <v>10</v>
      </c>
      <c r="L69" s="1" t="s">
        <v>115</v>
      </c>
      <c r="M69" s="1" t="s">
        <v>73</v>
      </c>
      <c r="N69" s="1" t="s">
        <v>74</v>
      </c>
      <c r="O69" s="1" t="s">
        <v>74</v>
      </c>
      <c r="P69" s="1" t="s">
        <v>8</v>
      </c>
      <c r="Q69" s="1" t="s">
        <v>136</v>
      </c>
      <c r="R69" s="1" t="s">
        <v>318</v>
      </c>
      <c r="S69" s="2"/>
      <c r="X69" s="1">
        <v>20</v>
      </c>
      <c r="Y69" s="1">
        <v>21</v>
      </c>
      <c r="Z69" s="1">
        <v>23</v>
      </c>
      <c r="AA69" s="1">
        <v>20</v>
      </c>
      <c r="AB69" s="1">
        <v>21</v>
      </c>
      <c r="AC69" s="1">
        <v>22</v>
      </c>
      <c r="AD69" s="1">
        <v>21</v>
      </c>
      <c r="AE69" s="1" t="s">
        <v>77</v>
      </c>
      <c r="AF69" s="12">
        <v>21</v>
      </c>
      <c r="AG69" s="12">
        <v>7</v>
      </c>
      <c r="AH69" s="12">
        <v>14</v>
      </c>
      <c r="AI69" s="13">
        <v>48.238095238095241</v>
      </c>
      <c r="AJ69" s="13">
        <v>70</v>
      </c>
      <c r="AK69" s="13">
        <v>32</v>
      </c>
      <c r="AL69" s="13">
        <v>11.112626880736901</v>
      </c>
      <c r="AM69" s="14">
        <v>4</v>
      </c>
      <c r="AN69" s="14">
        <v>4</v>
      </c>
      <c r="AO69" s="3">
        <f t="shared" ref="AO69:AO70" si="9">AN69/AM69</f>
        <v>1</v>
      </c>
      <c r="AP69" s="14">
        <v>0</v>
      </c>
      <c r="AQ69" s="14">
        <v>20</v>
      </c>
      <c r="AR69" s="3">
        <f t="shared" si="0"/>
        <v>0</v>
      </c>
      <c r="AS69" s="1">
        <v>0</v>
      </c>
      <c r="AT69" s="1">
        <v>0</v>
      </c>
      <c r="AU69" s="1">
        <v>3</v>
      </c>
      <c r="AV69" s="1">
        <v>0</v>
      </c>
      <c r="AW69" s="1">
        <v>0</v>
      </c>
      <c r="AX69" s="1">
        <v>0</v>
      </c>
      <c r="AY69" s="1">
        <v>0</v>
      </c>
      <c r="AZ69" s="1">
        <f t="shared" si="1"/>
        <v>3</v>
      </c>
    </row>
    <row r="70" spans="1:52" ht="15.75" customHeight="1" x14ac:dyDescent="0.3">
      <c r="A70" s="1" t="s">
        <v>319</v>
      </c>
      <c r="B70" s="2" t="s">
        <v>320</v>
      </c>
      <c r="C70" s="2">
        <v>260000014</v>
      </c>
      <c r="D70" s="1" t="s">
        <v>65</v>
      </c>
      <c r="E70" s="1" t="s">
        <v>66</v>
      </c>
      <c r="F70" s="1" t="s">
        <v>67</v>
      </c>
      <c r="G70" s="1" t="s">
        <v>68</v>
      </c>
      <c r="H70" s="1" t="s">
        <v>69</v>
      </c>
      <c r="I70" s="1" t="s">
        <v>70</v>
      </c>
      <c r="J70" s="1" t="s">
        <v>71</v>
      </c>
      <c r="K70" s="1">
        <v>10</v>
      </c>
      <c r="L70" s="1" t="s">
        <v>72</v>
      </c>
      <c r="M70" s="1" t="s">
        <v>73</v>
      </c>
      <c r="N70" s="1" t="s">
        <v>74</v>
      </c>
      <c r="O70" s="1" t="s">
        <v>74</v>
      </c>
      <c r="P70" s="1" t="s">
        <v>8</v>
      </c>
      <c r="Q70" s="1" t="s">
        <v>80</v>
      </c>
      <c r="R70" s="1" t="s">
        <v>315</v>
      </c>
      <c r="S70" s="2"/>
      <c r="Z70" s="1">
        <v>13</v>
      </c>
      <c r="AA70" s="1">
        <v>18</v>
      </c>
      <c r="AB70" s="1">
        <v>41</v>
      </c>
      <c r="AC70" s="1">
        <v>38</v>
      </c>
      <c r="AE70" s="1" t="s">
        <v>77</v>
      </c>
      <c r="AF70" s="12">
        <v>41</v>
      </c>
      <c r="AG70" s="12">
        <v>19</v>
      </c>
      <c r="AH70" s="12">
        <v>22</v>
      </c>
      <c r="AI70" s="13">
        <v>48.31707317073171</v>
      </c>
      <c r="AJ70" s="13">
        <v>69</v>
      </c>
      <c r="AK70" s="13">
        <v>28</v>
      </c>
      <c r="AL70" s="13">
        <v>9.5902007914074598</v>
      </c>
      <c r="AM70" s="14">
        <v>19</v>
      </c>
      <c r="AN70" s="14">
        <v>19</v>
      </c>
      <c r="AO70" s="3">
        <f t="shared" si="9"/>
        <v>1</v>
      </c>
      <c r="AP70" s="14">
        <v>2</v>
      </c>
      <c r="AQ70" s="14">
        <v>39</v>
      </c>
      <c r="AR70" s="3">
        <f t="shared" si="0"/>
        <v>5.128205128205128E-2</v>
      </c>
      <c r="AZ70" s="1">
        <f t="shared" si="1"/>
        <v>0</v>
      </c>
    </row>
    <row r="71" spans="1:52" ht="15.75" customHeight="1" x14ac:dyDescent="0.3">
      <c r="A71" s="1" t="s">
        <v>321</v>
      </c>
      <c r="B71" s="2" t="s">
        <v>322</v>
      </c>
      <c r="C71" s="2">
        <v>260000029</v>
      </c>
      <c r="D71" s="1" t="s">
        <v>146</v>
      </c>
      <c r="E71" s="1" t="s">
        <v>147</v>
      </c>
      <c r="F71" s="1" t="s">
        <v>67</v>
      </c>
      <c r="G71" s="1" t="s">
        <v>68</v>
      </c>
      <c r="H71" s="1" t="s">
        <v>69</v>
      </c>
      <c r="I71" s="1" t="s">
        <v>70</v>
      </c>
      <c r="J71" s="1" t="s">
        <v>131</v>
      </c>
      <c r="K71" s="1">
        <v>8</v>
      </c>
      <c r="L71" s="1" t="s">
        <v>148</v>
      </c>
      <c r="M71" s="1" t="s">
        <v>149</v>
      </c>
      <c r="N71" s="1" t="s">
        <v>148</v>
      </c>
      <c r="O71" s="1" t="s">
        <v>150</v>
      </c>
      <c r="P71" s="1" t="s">
        <v>8</v>
      </c>
      <c r="Q71" s="1" t="s">
        <v>80</v>
      </c>
      <c r="R71" s="1" t="s">
        <v>323</v>
      </c>
      <c r="S71" s="2"/>
      <c r="T71" s="1">
        <v>85</v>
      </c>
      <c r="W71" s="1">
        <v>34</v>
      </c>
      <c r="Z71" s="1">
        <v>24</v>
      </c>
      <c r="AE71" s="1" t="s">
        <v>285</v>
      </c>
      <c r="AF71" s="12">
        <v>48</v>
      </c>
      <c r="AG71" s="12">
        <v>12</v>
      </c>
      <c r="AH71" s="12">
        <v>36</v>
      </c>
      <c r="AI71" s="12">
        <v>48.375</v>
      </c>
      <c r="AJ71" s="12">
        <v>70</v>
      </c>
      <c r="AK71" s="12">
        <v>30</v>
      </c>
      <c r="AL71" s="12">
        <v>9.6923417893562807</v>
      </c>
      <c r="AM71" s="14"/>
      <c r="AN71" s="14"/>
      <c r="AO71" s="3"/>
      <c r="AP71" s="14">
        <v>2</v>
      </c>
      <c r="AQ71" s="14">
        <v>46</v>
      </c>
      <c r="AR71" s="3">
        <f t="shared" si="0"/>
        <v>4.3478260869565216E-2</v>
      </c>
      <c r="AS71" s="1">
        <v>0</v>
      </c>
      <c r="AT71" s="1">
        <v>13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f t="shared" si="1"/>
        <v>13</v>
      </c>
    </row>
    <row r="72" spans="1:52" ht="15.75" customHeight="1" x14ac:dyDescent="0.3">
      <c r="A72" s="1" t="s">
        <v>324</v>
      </c>
      <c r="B72" s="2" t="s">
        <v>325</v>
      </c>
      <c r="C72" s="2">
        <v>160000001</v>
      </c>
      <c r="D72" s="1" t="s">
        <v>123</v>
      </c>
      <c r="E72" s="1" t="s">
        <v>124</v>
      </c>
      <c r="F72" s="1" t="s">
        <v>67</v>
      </c>
      <c r="G72" s="1" t="s">
        <v>86</v>
      </c>
      <c r="H72" s="1" t="s">
        <v>87</v>
      </c>
      <c r="I72" s="1" t="s">
        <v>70</v>
      </c>
      <c r="J72" s="1" t="s">
        <v>125</v>
      </c>
      <c r="K72" s="1">
        <v>10</v>
      </c>
      <c r="L72" s="1" t="s">
        <v>74</v>
      </c>
      <c r="M72" s="1" t="s">
        <v>73</v>
      </c>
      <c r="N72" s="1" t="s">
        <v>74</v>
      </c>
      <c r="O72" s="1" t="s">
        <v>74</v>
      </c>
      <c r="P72" s="1" t="s">
        <v>8</v>
      </c>
      <c r="Q72" s="1" t="s">
        <v>90</v>
      </c>
      <c r="R72" s="1" t="s">
        <v>326</v>
      </c>
      <c r="S72" s="2"/>
      <c r="T72" s="1">
        <v>18</v>
      </c>
      <c r="U72" s="1">
        <v>17</v>
      </c>
      <c r="V72" s="1">
        <v>10</v>
      </c>
      <c r="W72" s="1">
        <v>7</v>
      </c>
      <c r="Y72" s="1">
        <v>12</v>
      </c>
      <c r="Z72" s="1">
        <v>9</v>
      </c>
      <c r="AC72" s="1">
        <v>12</v>
      </c>
      <c r="AD72" s="1">
        <v>8</v>
      </c>
      <c r="AE72" s="1" t="s">
        <v>93</v>
      </c>
      <c r="AF72" s="15">
        <v>24</v>
      </c>
      <c r="AG72" s="15">
        <v>2</v>
      </c>
      <c r="AH72" s="15">
        <v>22</v>
      </c>
      <c r="AI72" s="13">
        <v>48.454545454545453</v>
      </c>
      <c r="AJ72" s="13">
        <v>61</v>
      </c>
      <c r="AK72" s="13">
        <v>61</v>
      </c>
      <c r="AL72" s="13">
        <v>36</v>
      </c>
      <c r="AM72" s="14">
        <v>3</v>
      </c>
      <c r="AN72" s="14">
        <v>3</v>
      </c>
      <c r="AO72" s="3">
        <f t="shared" ref="AO72:AO74" si="10">AN72/AM72</f>
        <v>1</v>
      </c>
      <c r="AP72" s="14">
        <v>0</v>
      </c>
      <c r="AQ72" s="14">
        <v>24</v>
      </c>
      <c r="AR72" s="3">
        <f t="shared" si="0"/>
        <v>0</v>
      </c>
      <c r="AS72" s="1">
        <v>1</v>
      </c>
      <c r="AT72" s="1">
        <v>5</v>
      </c>
      <c r="AU72" s="1">
        <v>1</v>
      </c>
      <c r="AV72" s="1">
        <v>0</v>
      </c>
      <c r="AW72" s="1">
        <v>0</v>
      </c>
      <c r="AX72" s="1">
        <v>0</v>
      </c>
      <c r="AY72" s="1">
        <v>3</v>
      </c>
      <c r="AZ72" s="1">
        <f t="shared" si="1"/>
        <v>10</v>
      </c>
    </row>
    <row r="73" spans="1:52" ht="15.75" customHeight="1" x14ac:dyDescent="0.3">
      <c r="A73" s="1" t="s">
        <v>327</v>
      </c>
      <c r="B73" s="2" t="s">
        <v>328</v>
      </c>
      <c r="C73" s="2">
        <v>160000001</v>
      </c>
      <c r="D73" s="1" t="s">
        <v>123</v>
      </c>
      <c r="E73" s="1" t="s">
        <v>124</v>
      </c>
      <c r="F73" s="1" t="s">
        <v>67</v>
      </c>
      <c r="G73" s="1" t="s">
        <v>86</v>
      </c>
      <c r="H73" s="1" t="s">
        <v>87</v>
      </c>
      <c r="I73" s="1" t="s">
        <v>70</v>
      </c>
      <c r="J73" s="1" t="s">
        <v>125</v>
      </c>
      <c r="K73" s="1">
        <v>10</v>
      </c>
      <c r="L73" s="1" t="s">
        <v>74</v>
      </c>
      <c r="M73" s="1" t="s">
        <v>73</v>
      </c>
      <c r="N73" s="1" t="s">
        <v>74</v>
      </c>
      <c r="O73" s="1" t="s">
        <v>74</v>
      </c>
      <c r="P73" s="1" t="s">
        <v>8</v>
      </c>
      <c r="Q73" s="1" t="s">
        <v>75</v>
      </c>
      <c r="R73" s="1" t="s">
        <v>329</v>
      </c>
      <c r="S73" s="2"/>
      <c r="T73" s="1">
        <v>11</v>
      </c>
      <c r="U73" s="1">
        <v>20</v>
      </c>
      <c r="V73" s="1">
        <v>27</v>
      </c>
      <c r="W73" s="1">
        <v>27</v>
      </c>
      <c r="Y73" s="1">
        <v>21</v>
      </c>
      <c r="Z73" s="1">
        <v>22</v>
      </c>
      <c r="AC73" s="1">
        <v>17</v>
      </c>
      <c r="AD73" s="1">
        <v>15</v>
      </c>
      <c r="AE73" s="1" t="s">
        <v>93</v>
      </c>
      <c r="AF73" s="15">
        <v>34</v>
      </c>
      <c r="AG73" s="15">
        <v>10</v>
      </c>
      <c r="AH73" s="15">
        <v>24</v>
      </c>
      <c r="AI73" s="13">
        <v>48.470588235294116</v>
      </c>
      <c r="AJ73" s="13">
        <v>64</v>
      </c>
      <c r="AK73" s="13">
        <v>64</v>
      </c>
      <c r="AL73" s="13">
        <v>34</v>
      </c>
      <c r="AM73" s="14">
        <v>13</v>
      </c>
      <c r="AN73" s="14">
        <v>13</v>
      </c>
      <c r="AO73" s="3">
        <f t="shared" si="10"/>
        <v>1</v>
      </c>
      <c r="AP73" s="14">
        <v>0</v>
      </c>
      <c r="AQ73" s="14">
        <v>34</v>
      </c>
      <c r="AR73" s="3">
        <f t="shared" si="0"/>
        <v>0</v>
      </c>
      <c r="AS73" s="1">
        <v>0</v>
      </c>
      <c r="AT73" s="1">
        <v>0</v>
      </c>
      <c r="AU73" s="1">
        <v>6</v>
      </c>
      <c r="AV73" s="1">
        <v>7</v>
      </c>
      <c r="AW73" s="1">
        <v>0</v>
      </c>
      <c r="AX73" s="1">
        <v>0</v>
      </c>
      <c r="AY73" s="1">
        <v>6</v>
      </c>
      <c r="AZ73" s="1">
        <f t="shared" si="1"/>
        <v>19</v>
      </c>
    </row>
    <row r="74" spans="1:52" ht="15.75" customHeight="1" x14ac:dyDescent="0.3">
      <c r="A74" s="1" t="s">
        <v>330</v>
      </c>
      <c r="B74" s="2" t="s">
        <v>331</v>
      </c>
      <c r="C74" s="2">
        <v>260000019</v>
      </c>
      <c r="D74" s="1" t="s">
        <v>96</v>
      </c>
      <c r="E74" s="1" t="s">
        <v>97</v>
      </c>
      <c r="F74" s="1" t="s">
        <v>67</v>
      </c>
      <c r="G74" s="1" t="s">
        <v>68</v>
      </c>
      <c r="H74" s="1" t="s">
        <v>69</v>
      </c>
      <c r="I74" s="1" t="s">
        <v>70</v>
      </c>
      <c r="J74" s="1" t="s">
        <v>98</v>
      </c>
      <c r="K74" s="1">
        <v>6</v>
      </c>
      <c r="L74" s="1" t="s">
        <v>99</v>
      </c>
      <c r="M74" s="1" t="s">
        <v>73</v>
      </c>
      <c r="N74" s="1" t="s">
        <v>74</v>
      </c>
      <c r="O74" s="1" t="s">
        <v>74</v>
      </c>
      <c r="P74" s="1" t="s">
        <v>8</v>
      </c>
      <c r="Q74" s="1" t="s">
        <v>80</v>
      </c>
      <c r="R74" s="1" t="s">
        <v>332</v>
      </c>
      <c r="S74" s="2"/>
      <c r="AB74" s="1">
        <v>9</v>
      </c>
      <c r="AE74" s="1" t="s">
        <v>77</v>
      </c>
      <c r="AF74" s="12">
        <v>9</v>
      </c>
      <c r="AG74" s="12">
        <v>4</v>
      </c>
      <c r="AH74" s="12">
        <v>5</v>
      </c>
      <c r="AI74" s="13">
        <v>48.555555555555557</v>
      </c>
      <c r="AJ74" s="13">
        <v>63</v>
      </c>
      <c r="AK74" s="13">
        <v>31</v>
      </c>
      <c r="AL74" s="13">
        <v>11.948965552623283</v>
      </c>
      <c r="AM74" s="14">
        <v>11</v>
      </c>
      <c r="AN74" s="14">
        <v>11</v>
      </c>
      <c r="AO74" s="3">
        <f t="shared" si="10"/>
        <v>1</v>
      </c>
      <c r="AP74" s="14">
        <v>0</v>
      </c>
      <c r="AQ74" s="14">
        <v>9</v>
      </c>
      <c r="AR74" s="3">
        <f t="shared" si="0"/>
        <v>0</v>
      </c>
      <c r="AZ74" s="1">
        <f t="shared" si="1"/>
        <v>0</v>
      </c>
    </row>
    <row r="75" spans="1:52" ht="15.75" customHeight="1" x14ac:dyDescent="0.3">
      <c r="A75" s="1" t="s">
        <v>333</v>
      </c>
      <c r="B75" s="2" t="s">
        <v>334</v>
      </c>
      <c r="C75" s="2">
        <v>260000008</v>
      </c>
      <c r="D75" s="1" t="s">
        <v>113</v>
      </c>
      <c r="E75" s="1" t="s">
        <v>114</v>
      </c>
      <c r="F75" s="1" t="s">
        <v>67</v>
      </c>
      <c r="G75" s="1" t="s">
        <v>68</v>
      </c>
      <c r="H75" s="1" t="s">
        <v>69</v>
      </c>
      <c r="I75" s="1" t="s">
        <v>70</v>
      </c>
      <c r="J75" s="1" t="s">
        <v>71</v>
      </c>
      <c r="K75" s="1">
        <v>10</v>
      </c>
      <c r="L75" s="1" t="s">
        <v>115</v>
      </c>
      <c r="M75" s="1" t="s">
        <v>73</v>
      </c>
      <c r="N75" s="1" t="s">
        <v>74</v>
      </c>
      <c r="O75" s="1" t="s">
        <v>74</v>
      </c>
      <c r="P75" s="1" t="s">
        <v>8</v>
      </c>
      <c r="Q75" s="1" t="s">
        <v>80</v>
      </c>
      <c r="R75" s="1" t="s">
        <v>335</v>
      </c>
      <c r="S75" s="2"/>
      <c r="X75" s="1">
        <v>23</v>
      </c>
      <c r="Y75" s="1">
        <v>24</v>
      </c>
      <c r="Z75" s="1">
        <v>29</v>
      </c>
      <c r="AA75" s="1">
        <v>26</v>
      </c>
      <c r="AB75" s="1">
        <v>22</v>
      </c>
      <c r="AC75" s="1">
        <v>28</v>
      </c>
      <c r="AD75" s="1">
        <v>30</v>
      </c>
      <c r="AE75" s="1" t="s">
        <v>77</v>
      </c>
      <c r="AF75" s="12">
        <v>22</v>
      </c>
      <c r="AG75" s="12">
        <v>16</v>
      </c>
      <c r="AH75" s="12">
        <v>6</v>
      </c>
      <c r="AI75" s="13">
        <v>48.80952380952381</v>
      </c>
      <c r="AJ75" s="13">
        <v>66</v>
      </c>
      <c r="AK75" s="13">
        <v>35</v>
      </c>
      <c r="AL75" s="13">
        <v>9.8975706495030682</v>
      </c>
      <c r="AM75" s="14"/>
      <c r="AN75" s="14"/>
      <c r="AO75" s="3"/>
      <c r="AP75" s="14">
        <v>0</v>
      </c>
      <c r="AQ75" s="14">
        <v>21</v>
      </c>
      <c r="AR75" s="3">
        <f t="shared" si="0"/>
        <v>0</v>
      </c>
      <c r="AZ75" s="1">
        <f t="shared" si="1"/>
        <v>0</v>
      </c>
    </row>
    <row r="76" spans="1:52" ht="15.75" customHeight="1" x14ac:dyDescent="0.3">
      <c r="A76" s="1" t="s">
        <v>336</v>
      </c>
      <c r="B76" s="2" t="s">
        <v>337</v>
      </c>
      <c r="C76" s="2">
        <v>160000001</v>
      </c>
      <c r="D76" s="1" t="s">
        <v>123</v>
      </c>
      <c r="E76" s="1" t="s">
        <v>124</v>
      </c>
      <c r="F76" s="1" t="s">
        <v>67</v>
      </c>
      <c r="G76" s="1" t="s">
        <v>86</v>
      </c>
      <c r="H76" s="1" t="s">
        <v>87</v>
      </c>
      <c r="I76" s="1" t="s">
        <v>70</v>
      </c>
      <c r="J76" s="1" t="s">
        <v>125</v>
      </c>
      <c r="K76" s="1">
        <v>10</v>
      </c>
      <c r="L76" s="1" t="s">
        <v>74</v>
      </c>
      <c r="M76" s="1" t="s">
        <v>73</v>
      </c>
      <c r="N76" s="1" t="s">
        <v>74</v>
      </c>
      <c r="O76" s="1" t="s">
        <v>74</v>
      </c>
      <c r="P76" s="1" t="s">
        <v>8</v>
      </c>
      <c r="Q76" s="1" t="s">
        <v>141</v>
      </c>
      <c r="R76" s="1" t="s">
        <v>338</v>
      </c>
      <c r="S76" s="2"/>
      <c r="T76" s="1">
        <v>41</v>
      </c>
      <c r="U76" s="1">
        <v>36</v>
      </c>
      <c r="V76" s="1">
        <v>32</v>
      </c>
      <c r="W76" s="1">
        <v>34</v>
      </c>
      <c r="Y76" s="1">
        <v>35</v>
      </c>
      <c r="AC76" s="1">
        <v>27</v>
      </c>
      <c r="AD76" s="1">
        <v>10</v>
      </c>
      <c r="AE76" s="1" t="s">
        <v>93</v>
      </c>
      <c r="AF76" s="15">
        <v>54</v>
      </c>
      <c r="AG76" s="15">
        <v>14</v>
      </c>
      <c r="AH76" s="15">
        <v>40</v>
      </c>
      <c r="AI76" s="13">
        <v>49</v>
      </c>
      <c r="AJ76" s="13">
        <v>68</v>
      </c>
      <c r="AK76" s="13">
        <v>68</v>
      </c>
      <c r="AL76" s="13">
        <v>29</v>
      </c>
      <c r="AM76" s="14"/>
      <c r="AN76" s="14"/>
      <c r="AO76" s="3"/>
      <c r="AP76" s="14">
        <v>4</v>
      </c>
      <c r="AQ76" s="14">
        <v>50</v>
      </c>
      <c r="AR76" s="3">
        <f t="shared" si="0"/>
        <v>0.08</v>
      </c>
      <c r="AS76" s="1">
        <v>6</v>
      </c>
      <c r="AT76" s="1">
        <v>10</v>
      </c>
      <c r="AU76" s="1">
        <v>5</v>
      </c>
      <c r="AV76" s="1">
        <v>5</v>
      </c>
      <c r="AW76" s="1">
        <v>0</v>
      </c>
      <c r="AX76" s="1">
        <v>4</v>
      </c>
      <c r="AY76" s="1">
        <v>3</v>
      </c>
      <c r="AZ76" s="1">
        <f t="shared" si="1"/>
        <v>33</v>
      </c>
    </row>
    <row r="77" spans="1:52" ht="15.75" customHeight="1" x14ac:dyDescent="0.3">
      <c r="A77" s="1" t="s">
        <v>339</v>
      </c>
      <c r="B77" s="2" t="s">
        <v>340</v>
      </c>
      <c r="C77" s="2">
        <v>160000001</v>
      </c>
      <c r="D77" s="1" t="s">
        <v>123</v>
      </c>
      <c r="E77" s="1" t="s">
        <v>124</v>
      </c>
      <c r="F77" s="1" t="s">
        <v>67</v>
      </c>
      <c r="G77" s="1" t="s">
        <v>86</v>
      </c>
      <c r="H77" s="1" t="s">
        <v>87</v>
      </c>
      <c r="I77" s="1" t="s">
        <v>70</v>
      </c>
      <c r="J77" s="1" t="s">
        <v>125</v>
      </c>
      <c r="K77" s="1">
        <v>10</v>
      </c>
      <c r="L77" s="1" t="s">
        <v>74</v>
      </c>
      <c r="M77" s="1" t="s">
        <v>73</v>
      </c>
      <c r="N77" s="1" t="s">
        <v>74</v>
      </c>
      <c r="O77" s="1" t="s">
        <v>74</v>
      </c>
      <c r="P77" s="1" t="s">
        <v>8</v>
      </c>
      <c r="Q77" s="1" t="s">
        <v>80</v>
      </c>
      <c r="R77" s="1" t="s">
        <v>341</v>
      </c>
      <c r="S77" s="2"/>
      <c r="T77" s="1">
        <v>2</v>
      </c>
      <c r="U77" s="1">
        <v>2</v>
      </c>
      <c r="V77" s="1">
        <v>10</v>
      </c>
      <c r="W77" s="1">
        <v>12</v>
      </c>
      <c r="Y77" s="1">
        <v>15</v>
      </c>
      <c r="Z77" s="1">
        <v>16</v>
      </c>
      <c r="AC77" s="1">
        <v>14</v>
      </c>
      <c r="AD77" s="1">
        <v>19</v>
      </c>
      <c r="AE77" s="1" t="s">
        <v>93</v>
      </c>
      <c r="AF77" s="15">
        <v>28</v>
      </c>
      <c r="AG77" s="15">
        <v>8</v>
      </c>
      <c r="AH77" s="15">
        <v>20</v>
      </c>
      <c r="AI77" s="13">
        <v>49</v>
      </c>
      <c r="AJ77" s="13">
        <v>67</v>
      </c>
      <c r="AK77" s="13">
        <v>67</v>
      </c>
      <c r="AL77" s="13">
        <v>34</v>
      </c>
      <c r="AM77" s="14">
        <v>23</v>
      </c>
      <c r="AN77" s="14">
        <v>23</v>
      </c>
      <c r="AO77" s="3">
        <f t="shared" ref="AO77:AO81" si="11">AN77/AM77</f>
        <v>1</v>
      </c>
      <c r="AP77" s="14">
        <v>0</v>
      </c>
      <c r="AQ77" s="14">
        <v>28</v>
      </c>
      <c r="AR77" s="3">
        <f t="shared" si="0"/>
        <v>0</v>
      </c>
      <c r="AS77" s="1">
        <v>0</v>
      </c>
      <c r="AT77" s="1">
        <v>0</v>
      </c>
      <c r="AU77" s="1">
        <v>0</v>
      </c>
      <c r="AV77" s="1">
        <v>6</v>
      </c>
      <c r="AW77" s="1">
        <v>0</v>
      </c>
      <c r="AX77" s="1">
        <v>6</v>
      </c>
      <c r="AY77" s="1">
        <v>3</v>
      </c>
      <c r="AZ77" s="1">
        <f t="shared" si="1"/>
        <v>15</v>
      </c>
    </row>
    <row r="78" spans="1:52" ht="15.75" customHeight="1" x14ac:dyDescent="0.3">
      <c r="A78" s="1" t="s">
        <v>342</v>
      </c>
      <c r="B78" s="2" t="s">
        <v>343</v>
      </c>
      <c r="C78" s="2">
        <v>260000008</v>
      </c>
      <c r="D78" s="1" t="s">
        <v>113</v>
      </c>
      <c r="E78" s="1" t="s">
        <v>114</v>
      </c>
      <c r="F78" s="1" t="s">
        <v>67</v>
      </c>
      <c r="G78" s="1" t="s">
        <v>68</v>
      </c>
      <c r="H78" s="1" t="s">
        <v>69</v>
      </c>
      <c r="I78" s="1" t="s">
        <v>70</v>
      </c>
      <c r="J78" s="1" t="s">
        <v>71</v>
      </c>
      <c r="K78" s="1">
        <v>10</v>
      </c>
      <c r="L78" s="1" t="s">
        <v>115</v>
      </c>
      <c r="M78" s="1" t="s">
        <v>73</v>
      </c>
      <c r="N78" s="1" t="s">
        <v>74</v>
      </c>
      <c r="O78" s="1" t="s">
        <v>74</v>
      </c>
      <c r="P78" s="1" t="s">
        <v>8</v>
      </c>
      <c r="Q78" s="1" t="s">
        <v>136</v>
      </c>
      <c r="R78" s="1" t="s">
        <v>344</v>
      </c>
      <c r="S78" s="2"/>
      <c r="X78" s="1">
        <v>7</v>
      </c>
      <c r="Y78" s="1">
        <v>4</v>
      </c>
      <c r="Z78" s="1">
        <v>7</v>
      </c>
      <c r="AA78" s="1">
        <v>4</v>
      </c>
      <c r="AB78" s="1">
        <v>6</v>
      </c>
      <c r="AC78" s="1">
        <v>6</v>
      </c>
      <c r="AD78" s="1">
        <v>12</v>
      </c>
      <c r="AE78" s="1" t="s">
        <v>77</v>
      </c>
      <c r="AF78" s="12">
        <v>6</v>
      </c>
      <c r="AG78" s="12">
        <v>5</v>
      </c>
      <c r="AH78" s="12">
        <v>1</v>
      </c>
      <c r="AI78" s="13">
        <v>49</v>
      </c>
      <c r="AJ78" s="13">
        <v>56</v>
      </c>
      <c r="AK78" s="13">
        <v>38</v>
      </c>
      <c r="AL78" s="13">
        <v>7.8230428862431785</v>
      </c>
      <c r="AM78" s="14">
        <v>3</v>
      </c>
      <c r="AN78" s="14">
        <v>3</v>
      </c>
      <c r="AO78" s="3">
        <f t="shared" si="11"/>
        <v>1</v>
      </c>
      <c r="AP78" s="14">
        <v>2</v>
      </c>
      <c r="AQ78" s="14">
        <v>4</v>
      </c>
      <c r="AR78" s="3">
        <f t="shared" si="0"/>
        <v>0.5</v>
      </c>
      <c r="AZ78" s="1">
        <f t="shared" si="1"/>
        <v>0</v>
      </c>
    </row>
    <row r="79" spans="1:52" ht="15.75" customHeight="1" x14ac:dyDescent="0.3">
      <c r="A79" s="1" t="s">
        <v>345</v>
      </c>
      <c r="B79" s="2" t="s">
        <v>346</v>
      </c>
      <c r="C79" s="2">
        <v>160000007</v>
      </c>
      <c r="D79" s="1" t="s">
        <v>129</v>
      </c>
      <c r="E79" s="1" t="s">
        <v>130</v>
      </c>
      <c r="F79" s="1" t="s">
        <v>67</v>
      </c>
      <c r="G79" s="1" t="s">
        <v>86</v>
      </c>
      <c r="H79" s="1" t="s">
        <v>87</v>
      </c>
      <c r="I79" s="1" t="s">
        <v>70</v>
      </c>
      <c r="J79" s="1" t="s">
        <v>131</v>
      </c>
      <c r="K79" s="1">
        <v>8</v>
      </c>
      <c r="L79" s="1" t="s">
        <v>132</v>
      </c>
      <c r="M79" s="1" t="s">
        <v>73</v>
      </c>
      <c r="N79" s="1" t="s">
        <v>74</v>
      </c>
      <c r="O79" s="1" t="s">
        <v>74</v>
      </c>
      <c r="P79" s="1" t="s">
        <v>8</v>
      </c>
      <c r="Q79" s="1" t="s">
        <v>195</v>
      </c>
      <c r="R79" s="1" t="s">
        <v>347</v>
      </c>
      <c r="S79" s="2"/>
      <c r="U79" s="1">
        <v>37</v>
      </c>
      <c r="V79" s="1">
        <v>66</v>
      </c>
      <c r="W79" s="1">
        <v>39</v>
      </c>
      <c r="X79" s="1">
        <v>49</v>
      </c>
      <c r="Y79" s="1">
        <v>36</v>
      </c>
      <c r="Z79" s="1">
        <v>33</v>
      </c>
      <c r="AA79" s="1">
        <v>39</v>
      </c>
      <c r="AB79" s="1">
        <v>38</v>
      </c>
      <c r="AC79" s="1">
        <v>27</v>
      </c>
      <c r="AD79" s="1">
        <v>33</v>
      </c>
      <c r="AE79" s="1" t="s">
        <v>77</v>
      </c>
      <c r="AF79" s="12">
        <v>38</v>
      </c>
      <c r="AG79" s="12">
        <v>11</v>
      </c>
      <c r="AH79" s="12">
        <v>27</v>
      </c>
      <c r="AI79" s="13">
        <v>49.39473684210526</v>
      </c>
      <c r="AJ79" s="13">
        <v>68</v>
      </c>
      <c r="AK79" s="13">
        <v>30</v>
      </c>
      <c r="AL79" s="13">
        <v>10.156982616644687</v>
      </c>
      <c r="AM79" s="14">
        <v>11</v>
      </c>
      <c r="AN79" s="14">
        <v>8</v>
      </c>
      <c r="AO79" s="3">
        <f t="shared" si="11"/>
        <v>0.72727272727272729</v>
      </c>
      <c r="AP79" s="14">
        <v>5</v>
      </c>
      <c r="AQ79" s="14">
        <v>33</v>
      </c>
      <c r="AR79" s="3">
        <f t="shared" si="0"/>
        <v>0.15151515151515152</v>
      </c>
      <c r="AZ79" s="1">
        <f t="shared" si="1"/>
        <v>0</v>
      </c>
    </row>
    <row r="80" spans="1:52" ht="15.75" customHeight="1" x14ac:dyDescent="0.3">
      <c r="A80" s="1" t="s">
        <v>348</v>
      </c>
      <c r="B80" s="2" t="s">
        <v>349</v>
      </c>
      <c r="C80" s="2">
        <v>160000001</v>
      </c>
      <c r="D80" s="1" t="s">
        <v>123</v>
      </c>
      <c r="E80" s="1" t="s">
        <v>124</v>
      </c>
      <c r="F80" s="1" t="s">
        <v>67</v>
      </c>
      <c r="G80" s="1" t="s">
        <v>86</v>
      </c>
      <c r="H80" s="1" t="s">
        <v>87</v>
      </c>
      <c r="I80" s="1" t="s">
        <v>70</v>
      </c>
      <c r="J80" s="1" t="s">
        <v>125</v>
      </c>
      <c r="K80" s="1">
        <v>10</v>
      </c>
      <c r="L80" s="1" t="s">
        <v>74</v>
      </c>
      <c r="M80" s="1" t="s">
        <v>73</v>
      </c>
      <c r="N80" s="1" t="s">
        <v>74</v>
      </c>
      <c r="O80" s="1" t="s">
        <v>74</v>
      </c>
      <c r="P80" s="1" t="s">
        <v>8</v>
      </c>
      <c r="Q80" s="1" t="s">
        <v>80</v>
      </c>
      <c r="R80" s="1" t="s">
        <v>350</v>
      </c>
      <c r="S80" s="2"/>
      <c r="T80" s="1">
        <v>19</v>
      </c>
      <c r="U80" s="1">
        <v>25</v>
      </c>
      <c r="V80" s="1">
        <v>28</v>
      </c>
      <c r="W80" s="1">
        <v>24</v>
      </c>
      <c r="Y80" s="1">
        <v>15</v>
      </c>
      <c r="Z80" s="1">
        <v>6</v>
      </c>
      <c r="AC80" s="1">
        <v>20</v>
      </c>
      <c r="AD80" s="1">
        <v>15</v>
      </c>
      <c r="AE80" s="1" t="s">
        <v>93</v>
      </c>
      <c r="AF80" s="15">
        <v>40</v>
      </c>
      <c r="AG80" s="15">
        <v>14</v>
      </c>
      <c r="AH80" s="15">
        <v>26</v>
      </c>
      <c r="AI80" s="13">
        <v>49.444444444444443</v>
      </c>
      <c r="AJ80" s="13">
        <v>69</v>
      </c>
      <c r="AK80" s="13">
        <v>69</v>
      </c>
      <c r="AL80" s="13">
        <v>38</v>
      </c>
      <c r="AM80" s="14">
        <v>5</v>
      </c>
      <c r="AN80" s="14">
        <v>5</v>
      </c>
      <c r="AO80" s="3">
        <f t="shared" si="11"/>
        <v>1</v>
      </c>
      <c r="AP80" s="14">
        <v>0</v>
      </c>
      <c r="AQ80" s="14">
        <v>40</v>
      </c>
      <c r="AR80" s="3">
        <f t="shared" si="0"/>
        <v>0</v>
      </c>
      <c r="AS80" s="1">
        <v>0</v>
      </c>
      <c r="AT80" s="1">
        <v>1</v>
      </c>
      <c r="AU80" s="1">
        <v>5</v>
      </c>
      <c r="AV80" s="1">
        <v>2</v>
      </c>
      <c r="AW80" s="1">
        <v>0</v>
      </c>
      <c r="AX80" s="1">
        <v>0</v>
      </c>
      <c r="AY80" s="1">
        <v>3</v>
      </c>
      <c r="AZ80" s="1">
        <f t="shared" si="1"/>
        <v>11</v>
      </c>
    </row>
    <row r="81" spans="1:52" ht="15.75" customHeight="1" x14ac:dyDescent="0.3">
      <c r="A81" s="1" t="s">
        <v>351</v>
      </c>
      <c r="B81" s="2" t="s">
        <v>352</v>
      </c>
      <c r="C81" s="2">
        <v>160000006</v>
      </c>
      <c r="D81" s="1" t="s">
        <v>84</v>
      </c>
      <c r="E81" s="1" t="s">
        <v>85</v>
      </c>
      <c r="F81" s="1" t="s">
        <v>67</v>
      </c>
      <c r="G81" s="1" t="s">
        <v>86</v>
      </c>
      <c r="H81" s="1" t="s">
        <v>87</v>
      </c>
      <c r="I81" s="1" t="s">
        <v>70</v>
      </c>
      <c r="J81" s="1" t="s">
        <v>88</v>
      </c>
      <c r="K81" s="1">
        <v>10</v>
      </c>
      <c r="L81" s="1" t="s">
        <v>89</v>
      </c>
      <c r="M81" s="1" t="s">
        <v>73</v>
      </c>
      <c r="N81" s="1" t="s">
        <v>74</v>
      </c>
      <c r="O81" s="1" t="s">
        <v>74</v>
      </c>
      <c r="P81" s="1" t="s">
        <v>8</v>
      </c>
      <c r="Q81" s="1" t="s">
        <v>90</v>
      </c>
      <c r="R81" s="1" t="s">
        <v>353</v>
      </c>
      <c r="S81" s="2"/>
      <c r="T81" s="1">
        <v>7</v>
      </c>
      <c r="AE81" s="1" t="s">
        <v>110</v>
      </c>
      <c r="AF81" s="12">
        <v>14</v>
      </c>
      <c r="AG81" s="12">
        <v>4</v>
      </c>
      <c r="AH81" s="12">
        <v>10</v>
      </c>
      <c r="AI81" s="12">
        <v>50</v>
      </c>
      <c r="AJ81" s="12">
        <v>69</v>
      </c>
      <c r="AK81" s="12">
        <v>32</v>
      </c>
      <c r="AL81" s="12">
        <v>12.649110640673518</v>
      </c>
      <c r="AM81" s="14">
        <v>7</v>
      </c>
      <c r="AN81" s="14">
        <v>7</v>
      </c>
      <c r="AO81" s="3">
        <f t="shared" si="11"/>
        <v>1</v>
      </c>
      <c r="AP81" s="14">
        <v>0</v>
      </c>
      <c r="AQ81" s="14">
        <v>14</v>
      </c>
      <c r="AR81" s="3">
        <f t="shared" si="0"/>
        <v>0</v>
      </c>
      <c r="AZ81" s="1">
        <f t="shared" si="1"/>
        <v>0</v>
      </c>
    </row>
    <row r="82" spans="1:52" ht="15.75" customHeight="1" x14ac:dyDescent="0.3">
      <c r="A82" s="1" t="s">
        <v>354</v>
      </c>
      <c r="B82" s="2" t="s">
        <v>355</v>
      </c>
      <c r="C82" s="2">
        <v>160000001</v>
      </c>
      <c r="D82" s="1" t="s">
        <v>123</v>
      </c>
      <c r="E82" s="1" t="s">
        <v>124</v>
      </c>
      <c r="F82" s="1" t="s">
        <v>67</v>
      </c>
      <c r="G82" s="1" t="s">
        <v>86</v>
      </c>
      <c r="H82" s="1" t="s">
        <v>87</v>
      </c>
      <c r="I82" s="1" t="s">
        <v>70</v>
      </c>
      <c r="J82" s="1" t="s">
        <v>125</v>
      </c>
      <c r="K82" s="1">
        <v>10</v>
      </c>
      <c r="L82" s="1" t="s">
        <v>74</v>
      </c>
      <c r="M82" s="1" t="s">
        <v>73</v>
      </c>
      <c r="N82" s="1" t="s">
        <v>74</v>
      </c>
      <c r="O82" s="1" t="s">
        <v>74</v>
      </c>
      <c r="P82" s="1" t="s">
        <v>8</v>
      </c>
      <c r="Q82" s="1" t="s">
        <v>90</v>
      </c>
      <c r="R82" s="1" t="s">
        <v>356</v>
      </c>
      <c r="S82" s="2"/>
      <c r="T82" s="1">
        <v>1</v>
      </c>
      <c r="U82" s="1">
        <v>1</v>
      </c>
      <c r="V82" s="1">
        <v>1</v>
      </c>
      <c r="W82" s="1">
        <v>1</v>
      </c>
      <c r="Y82" s="1">
        <v>3</v>
      </c>
      <c r="Z82" s="1">
        <v>2</v>
      </c>
      <c r="AC82" s="1">
        <v>6</v>
      </c>
      <c r="AE82" s="1" t="s">
        <v>93</v>
      </c>
      <c r="AF82" s="15">
        <v>12</v>
      </c>
      <c r="AG82" s="15">
        <v>4</v>
      </c>
      <c r="AH82" s="15">
        <v>8</v>
      </c>
      <c r="AI82" s="13">
        <v>50</v>
      </c>
      <c r="AJ82" s="13">
        <v>66</v>
      </c>
      <c r="AK82" s="13">
        <v>66</v>
      </c>
      <c r="AL82" s="13">
        <v>33</v>
      </c>
      <c r="AM82" s="14"/>
      <c r="AN82" s="14"/>
      <c r="AO82" s="3"/>
      <c r="AP82" s="14">
        <v>2</v>
      </c>
      <c r="AQ82" s="14">
        <v>10</v>
      </c>
      <c r="AR82" s="3">
        <f t="shared" si="0"/>
        <v>0.2</v>
      </c>
      <c r="AS82" s="1">
        <v>0</v>
      </c>
      <c r="AT82" s="1">
        <v>1</v>
      </c>
      <c r="AU82" s="1">
        <v>0</v>
      </c>
      <c r="AV82" s="1">
        <v>0</v>
      </c>
      <c r="AW82" s="1">
        <v>0</v>
      </c>
      <c r="AX82" s="1">
        <v>0</v>
      </c>
      <c r="AY82" s="1">
        <v>2</v>
      </c>
      <c r="AZ82" s="1">
        <f t="shared" si="1"/>
        <v>3</v>
      </c>
    </row>
    <row r="83" spans="1:52" ht="15.75" customHeight="1" x14ac:dyDescent="0.3">
      <c r="A83" s="1" t="s">
        <v>357</v>
      </c>
      <c r="B83" s="2" t="s">
        <v>358</v>
      </c>
      <c r="C83" s="2">
        <v>260000008</v>
      </c>
      <c r="D83" s="1" t="s">
        <v>113</v>
      </c>
      <c r="E83" s="1" t="s">
        <v>114</v>
      </c>
      <c r="F83" s="1" t="s">
        <v>67</v>
      </c>
      <c r="G83" s="1" t="s">
        <v>68</v>
      </c>
      <c r="H83" s="1" t="s">
        <v>69</v>
      </c>
      <c r="I83" s="1" t="s">
        <v>70</v>
      </c>
      <c r="J83" s="1" t="s">
        <v>71</v>
      </c>
      <c r="K83" s="1">
        <v>10</v>
      </c>
      <c r="L83" s="1" t="s">
        <v>115</v>
      </c>
      <c r="M83" s="1" t="s">
        <v>73</v>
      </c>
      <c r="N83" s="1" t="s">
        <v>74</v>
      </c>
      <c r="O83" s="1" t="s">
        <v>74</v>
      </c>
      <c r="P83" s="1" t="s">
        <v>8</v>
      </c>
      <c r="Q83" s="1" t="s">
        <v>80</v>
      </c>
      <c r="R83" s="1" t="s">
        <v>359</v>
      </c>
      <c r="S83" s="2"/>
      <c r="X83" s="1">
        <v>5</v>
      </c>
      <c r="Y83" s="1">
        <v>5</v>
      </c>
      <c r="Z83" s="1">
        <v>4</v>
      </c>
      <c r="AA83" s="1">
        <v>5</v>
      </c>
      <c r="AB83" s="1">
        <v>4</v>
      </c>
      <c r="AC83" s="1">
        <v>3</v>
      </c>
      <c r="AD83" s="1">
        <v>4</v>
      </c>
      <c r="AE83" s="1" t="s">
        <v>77</v>
      </c>
      <c r="AF83" s="12">
        <v>4</v>
      </c>
      <c r="AG83" s="12">
        <v>1</v>
      </c>
      <c r="AH83" s="12">
        <v>3</v>
      </c>
      <c r="AI83" s="13">
        <v>50</v>
      </c>
      <c r="AJ83" s="13">
        <v>54</v>
      </c>
      <c r="AK83" s="13">
        <v>48</v>
      </c>
      <c r="AL83" s="13">
        <v>2.8284271247461903</v>
      </c>
      <c r="AM83" s="14"/>
      <c r="AN83" s="14"/>
      <c r="AO83" s="3"/>
      <c r="AP83" s="14">
        <v>1</v>
      </c>
      <c r="AQ83" s="14">
        <v>3</v>
      </c>
      <c r="AR83" s="3">
        <f t="shared" si="0"/>
        <v>0.33333333333333331</v>
      </c>
      <c r="AT83" s="1">
        <v>1</v>
      </c>
      <c r="AV83" s="1">
        <v>1</v>
      </c>
      <c r="AY83" s="1">
        <v>2</v>
      </c>
      <c r="AZ83" s="1">
        <f t="shared" si="1"/>
        <v>4</v>
      </c>
    </row>
    <row r="84" spans="1:52" ht="15.75" customHeight="1" x14ac:dyDescent="0.3">
      <c r="A84" s="1" t="s">
        <v>360</v>
      </c>
      <c r="B84" s="2" t="s">
        <v>361</v>
      </c>
      <c r="C84" s="2">
        <v>160000001</v>
      </c>
      <c r="D84" s="1" t="s">
        <v>123</v>
      </c>
      <c r="E84" s="1" t="s">
        <v>124</v>
      </c>
      <c r="F84" s="1" t="s">
        <v>67</v>
      </c>
      <c r="G84" s="1" t="s">
        <v>86</v>
      </c>
      <c r="H84" s="1" t="s">
        <v>87</v>
      </c>
      <c r="I84" s="1" t="s">
        <v>70</v>
      </c>
      <c r="J84" s="1" t="s">
        <v>125</v>
      </c>
      <c r="K84" s="1">
        <v>10</v>
      </c>
      <c r="L84" s="1" t="s">
        <v>74</v>
      </c>
      <c r="M84" s="1" t="s">
        <v>73</v>
      </c>
      <c r="N84" s="1" t="s">
        <v>74</v>
      </c>
      <c r="O84" s="1" t="s">
        <v>74</v>
      </c>
      <c r="P84" s="1" t="s">
        <v>8</v>
      </c>
      <c r="Q84" s="1" t="s">
        <v>75</v>
      </c>
      <c r="R84" s="1" t="s">
        <v>362</v>
      </c>
      <c r="S84" s="2"/>
      <c r="T84" s="1">
        <v>19</v>
      </c>
      <c r="U84" s="1">
        <v>18</v>
      </c>
      <c r="V84" s="1">
        <v>22</v>
      </c>
      <c r="W84" s="1">
        <v>20</v>
      </c>
      <c r="Y84" s="1">
        <v>17</v>
      </c>
      <c r="Z84" s="1">
        <v>5</v>
      </c>
      <c r="AC84" s="1">
        <v>12</v>
      </c>
      <c r="AD84" s="1">
        <v>2</v>
      </c>
      <c r="AE84" s="1" t="s">
        <v>93</v>
      </c>
      <c r="AF84" s="15">
        <v>24</v>
      </c>
      <c r="AG84" s="15">
        <v>10</v>
      </c>
      <c r="AH84" s="15">
        <v>14</v>
      </c>
      <c r="AI84" s="13">
        <v>50.083333333333336</v>
      </c>
      <c r="AJ84" s="13">
        <v>66</v>
      </c>
      <c r="AK84" s="13">
        <v>66</v>
      </c>
      <c r="AL84" s="13">
        <v>27</v>
      </c>
      <c r="AM84" s="14"/>
      <c r="AN84" s="14"/>
      <c r="AO84" s="3"/>
      <c r="AP84" s="14">
        <v>0</v>
      </c>
      <c r="AQ84" s="14">
        <v>24</v>
      </c>
      <c r="AR84" s="3">
        <f t="shared" si="0"/>
        <v>0</v>
      </c>
      <c r="AS84" s="1">
        <v>0</v>
      </c>
      <c r="AT84" s="1">
        <v>11</v>
      </c>
      <c r="AU84" s="1">
        <v>0</v>
      </c>
      <c r="AV84" s="1">
        <v>6</v>
      </c>
      <c r="AW84" s="1">
        <v>0</v>
      </c>
      <c r="AX84" s="1">
        <v>0</v>
      </c>
      <c r="AY84" s="1">
        <v>3</v>
      </c>
      <c r="AZ84" s="1">
        <f t="shared" si="1"/>
        <v>20</v>
      </c>
    </row>
    <row r="85" spans="1:52" ht="15.75" customHeight="1" x14ac:dyDescent="0.3">
      <c r="A85" s="1" t="s">
        <v>363</v>
      </c>
      <c r="B85" s="2" t="s">
        <v>364</v>
      </c>
      <c r="C85" s="2">
        <v>260000019</v>
      </c>
      <c r="D85" s="1" t="s">
        <v>96</v>
      </c>
      <c r="E85" s="1" t="s">
        <v>97</v>
      </c>
      <c r="F85" s="1" t="s">
        <v>67</v>
      </c>
      <c r="G85" s="1" t="s">
        <v>68</v>
      </c>
      <c r="H85" s="1" t="s">
        <v>69</v>
      </c>
      <c r="I85" s="1" t="s">
        <v>70</v>
      </c>
      <c r="J85" s="1" t="s">
        <v>98</v>
      </c>
      <c r="K85" s="1">
        <v>6</v>
      </c>
      <c r="L85" s="1" t="s">
        <v>99</v>
      </c>
      <c r="M85" s="1" t="s">
        <v>73</v>
      </c>
      <c r="N85" s="1" t="s">
        <v>74</v>
      </c>
      <c r="O85" s="1" t="s">
        <v>74</v>
      </c>
      <c r="P85" s="1" t="s">
        <v>8</v>
      </c>
      <c r="Q85" s="1" t="s">
        <v>75</v>
      </c>
      <c r="R85" s="1" t="s">
        <v>329</v>
      </c>
      <c r="S85" s="2"/>
      <c r="U85" s="1">
        <v>6</v>
      </c>
      <c r="AB85" s="1">
        <v>5</v>
      </c>
      <c r="AD85" s="1">
        <v>4</v>
      </c>
      <c r="AE85" s="1" t="s">
        <v>77</v>
      </c>
      <c r="AF85" s="12">
        <v>5</v>
      </c>
      <c r="AG85" s="12">
        <v>1</v>
      </c>
      <c r="AH85" s="12">
        <v>4</v>
      </c>
      <c r="AI85" s="13">
        <v>50.2</v>
      </c>
      <c r="AJ85" s="13">
        <v>53</v>
      </c>
      <c r="AK85" s="13">
        <v>45</v>
      </c>
      <c r="AL85" s="13">
        <v>3.5637059362410666</v>
      </c>
      <c r="AM85" s="14">
        <v>9</v>
      </c>
      <c r="AN85" s="14">
        <v>9</v>
      </c>
      <c r="AO85" s="3">
        <f t="shared" ref="AO85:AO87" si="12">AN85/AM85</f>
        <v>1</v>
      </c>
      <c r="AP85" s="14">
        <v>0</v>
      </c>
      <c r="AQ85" s="14">
        <v>5</v>
      </c>
      <c r="AR85" s="3">
        <f t="shared" si="0"/>
        <v>0</v>
      </c>
      <c r="AZ85" s="1">
        <f t="shared" si="1"/>
        <v>0</v>
      </c>
    </row>
    <row r="86" spans="1:52" ht="15.75" customHeight="1" x14ac:dyDescent="0.3">
      <c r="A86" s="1" t="s">
        <v>365</v>
      </c>
      <c r="B86" s="2" t="s">
        <v>366</v>
      </c>
      <c r="C86" s="2">
        <v>160000001</v>
      </c>
      <c r="D86" s="1" t="s">
        <v>123</v>
      </c>
      <c r="E86" s="1" t="s">
        <v>124</v>
      </c>
      <c r="F86" s="1" t="s">
        <v>67</v>
      </c>
      <c r="G86" s="1" t="s">
        <v>86</v>
      </c>
      <c r="H86" s="1" t="s">
        <v>87</v>
      </c>
      <c r="I86" s="1" t="s">
        <v>70</v>
      </c>
      <c r="J86" s="1" t="s">
        <v>125</v>
      </c>
      <c r="K86" s="1">
        <v>10</v>
      </c>
      <c r="L86" s="1" t="s">
        <v>74</v>
      </c>
      <c r="M86" s="1" t="s">
        <v>73</v>
      </c>
      <c r="N86" s="1" t="s">
        <v>74</v>
      </c>
      <c r="O86" s="1" t="s">
        <v>74</v>
      </c>
      <c r="P86" s="1" t="s">
        <v>8</v>
      </c>
      <c r="Q86" s="1" t="s">
        <v>141</v>
      </c>
      <c r="R86" s="1" t="s">
        <v>367</v>
      </c>
      <c r="S86" s="2"/>
      <c r="AC86" s="1">
        <v>4</v>
      </c>
      <c r="AD86" s="1">
        <v>5</v>
      </c>
      <c r="AE86" s="1" t="s">
        <v>93</v>
      </c>
      <c r="AF86" s="15">
        <v>8</v>
      </c>
      <c r="AG86" s="15">
        <v>2</v>
      </c>
      <c r="AH86" s="15">
        <v>6</v>
      </c>
      <c r="AI86" s="13">
        <v>51.5</v>
      </c>
      <c r="AJ86" s="13">
        <v>58</v>
      </c>
      <c r="AK86" s="13">
        <v>58</v>
      </c>
      <c r="AL86" s="13">
        <v>41</v>
      </c>
      <c r="AM86" s="14">
        <v>19</v>
      </c>
      <c r="AN86" s="14">
        <v>19</v>
      </c>
      <c r="AO86" s="3">
        <f t="shared" si="12"/>
        <v>1</v>
      </c>
      <c r="AP86" s="14">
        <v>0</v>
      </c>
      <c r="AQ86" s="14">
        <v>8</v>
      </c>
      <c r="AR86" s="3">
        <f t="shared" si="0"/>
        <v>0</v>
      </c>
      <c r="AZ86" s="1">
        <f t="shared" si="1"/>
        <v>0</v>
      </c>
    </row>
    <row r="87" spans="1:52" ht="15.75" customHeight="1" x14ac:dyDescent="0.3">
      <c r="A87" s="1" t="s">
        <v>368</v>
      </c>
      <c r="B87" s="2" t="s">
        <v>369</v>
      </c>
      <c r="C87" s="2">
        <v>160000006</v>
      </c>
      <c r="D87" s="1" t="s">
        <v>84</v>
      </c>
      <c r="E87" s="1" t="s">
        <v>85</v>
      </c>
      <c r="F87" s="1" t="s">
        <v>67</v>
      </c>
      <c r="G87" s="1" t="s">
        <v>86</v>
      </c>
      <c r="H87" s="1" t="s">
        <v>87</v>
      </c>
      <c r="I87" s="1" t="s">
        <v>70</v>
      </c>
      <c r="J87" s="1" t="s">
        <v>88</v>
      </c>
      <c r="K87" s="1">
        <v>10</v>
      </c>
      <c r="L87" s="1" t="s">
        <v>89</v>
      </c>
      <c r="M87" s="1" t="s">
        <v>73</v>
      </c>
      <c r="N87" s="1" t="s">
        <v>74</v>
      </c>
      <c r="O87" s="1" t="s">
        <v>74</v>
      </c>
      <c r="P87" s="1" t="s">
        <v>8</v>
      </c>
      <c r="Q87" s="1" t="s">
        <v>90</v>
      </c>
      <c r="R87" s="1" t="s">
        <v>370</v>
      </c>
      <c r="S87" s="2"/>
      <c r="T87" s="1">
        <v>7</v>
      </c>
      <c r="AE87" s="1" t="s">
        <v>110</v>
      </c>
      <c r="AF87" s="12">
        <v>14</v>
      </c>
      <c r="AG87" s="12">
        <v>6</v>
      </c>
      <c r="AH87" s="12">
        <v>8</v>
      </c>
      <c r="AI87" s="12">
        <v>51.5</v>
      </c>
      <c r="AJ87" s="12">
        <v>57</v>
      </c>
      <c r="AK87" s="12">
        <v>41</v>
      </c>
      <c r="AL87" s="12">
        <v>5.2136185305235161</v>
      </c>
      <c r="AM87" s="14">
        <v>3</v>
      </c>
      <c r="AN87" s="14">
        <v>3</v>
      </c>
      <c r="AO87" s="3">
        <f t="shared" si="12"/>
        <v>1</v>
      </c>
      <c r="AP87" s="14">
        <v>0</v>
      </c>
      <c r="AQ87" s="14">
        <v>14</v>
      </c>
      <c r="AR87" s="3">
        <f t="shared" si="0"/>
        <v>0</v>
      </c>
      <c r="AZ87" s="1">
        <f t="shared" si="1"/>
        <v>0</v>
      </c>
    </row>
    <row r="88" spans="1:52" ht="15.75" customHeight="1" x14ac:dyDescent="0.3">
      <c r="A88" s="1" t="s">
        <v>371</v>
      </c>
      <c r="B88" s="2" t="s">
        <v>372</v>
      </c>
      <c r="C88" s="2">
        <v>160000001</v>
      </c>
      <c r="D88" s="1" t="s">
        <v>123</v>
      </c>
      <c r="E88" s="1" t="s">
        <v>124</v>
      </c>
      <c r="F88" s="1" t="s">
        <v>67</v>
      </c>
      <c r="G88" s="1" t="s">
        <v>86</v>
      </c>
      <c r="H88" s="1" t="s">
        <v>87</v>
      </c>
      <c r="I88" s="1" t="s">
        <v>70</v>
      </c>
      <c r="J88" s="1" t="s">
        <v>125</v>
      </c>
      <c r="K88" s="1">
        <v>10</v>
      </c>
      <c r="L88" s="1" t="s">
        <v>74</v>
      </c>
      <c r="M88" s="1" t="s">
        <v>73</v>
      </c>
      <c r="N88" s="1" t="s">
        <v>74</v>
      </c>
      <c r="O88" s="1" t="s">
        <v>74</v>
      </c>
      <c r="P88" s="1" t="s">
        <v>8</v>
      </c>
      <c r="Q88" s="1" t="s">
        <v>75</v>
      </c>
      <c r="R88" s="1" t="s">
        <v>373</v>
      </c>
      <c r="S88" s="2"/>
      <c r="T88" s="1">
        <v>20</v>
      </c>
      <c r="U88" s="1">
        <v>18</v>
      </c>
      <c r="V88" s="1">
        <v>28</v>
      </c>
      <c r="W88" s="1">
        <v>24</v>
      </c>
      <c r="Y88" s="1">
        <v>17</v>
      </c>
      <c r="Z88" s="1">
        <v>5</v>
      </c>
      <c r="AC88" s="1">
        <v>6</v>
      </c>
      <c r="AD88" s="1">
        <v>4</v>
      </c>
      <c r="AE88" s="1" t="s">
        <v>93</v>
      </c>
      <c r="AF88" s="12">
        <v>12</v>
      </c>
      <c r="AG88" s="12">
        <v>8</v>
      </c>
      <c r="AH88" s="12">
        <v>4</v>
      </c>
      <c r="AI88" s="13">
        <v>51.6</v>
      </c>
      <c r="AJ88" s="13">
        <v>57</v>
      </c>
      <c r="AK88" s="13">
        <v>57</v>
      </c>
      <c r="AL88" s="13">
        <v>45</v>
      </c>
      <c r="AM88" s="14"/>
      <c r="AN88" s="14"/>
      <c r="AO88" s="3"/>
      <c r="AP88" s="14">
        <v>0</v>
      </c>
      <c r="AQ88" s="14">
        <v>10</v>
      </c>
      <c r="AR88" s="3">
        <f t="shared" si="0"/>
        <v>0</v>
      </c>
      <c r="AS88" s="1">
        <v>0</v>
      </c>
      <c r="AT88" s="1">
        <v>13</v>
      </c>
      <c r="AU88" s="1">
        <v>0</v>
      </c>
      <c r="AV88" s="1">
        <v>4</v>
      </c>
      <c r="AW88" s="1">
        <v>0</v>
      </c>
      <c r="AX88" s="1">
        <v>0</v>
      </c>
      <c r="AY88" s="1">
        <v>0</v>
      </c>
      <c r="AZ88" s="1">
        <f t="shared" si="1"/>
        <v>17</v>
      </c>
    </row>
    <row r="89" spans="1:52" ht="15.75" customHeight="1" x14ac:dyDescent="0.3">
      <c r="A89" s="1" t="s">
        <v>374</v>
      </c>
      <c r="B89" s="2" t="s">
        <v>375</v>
      </c>
      <c r="C89" s="2">
        <v>160000001</v>
      </c>
      <c r="D89" s="1" t="s">
        <v>123</v>
      </c>
      <c r="E89" s="1" t="s">
        <v>124</v>
      </c>
      <c r="F89" s="1" t="s">
        <v>67</v>
      </c>
      <c r="G89" s="1" t="s">
        <v>86</v>
      </c>
      <c r="H89" s="1" t="s">
        <v>87</v>
      </c>
      <c r="I89" s="1" t="s">
        <v>70</v>
      </c>
      <c r="J89" s="1" t="s">
        <v>125</v>
      </c>
      <c r="K89" s="1">
        <v>10</v>
      </c>
      <c r="L89" s="1" t="s">
        <v>74</v>
      </c>
      <c r="M89" s="1" t="s">
        <v>73</v>
      </c>
      <c r="N89" s="1" t="s">
        <v>74</v>
      </c>
      <c r="O89" s="1" t="s">
        <v>74</v>
      </c>
      <c r="P89" s="1" t="s">
        <v>8</v>
      </c>
      <c r="Q89" s="1" t="s">
        <v>136</v>
      </c>
      <c r="R89" s="1" t="s">
        <v>154</v>
      </c>
      <c r="S89" s="2"/>
      <c r="T89" s="1">
        <v>14</v>
      </c>
      <c r="U89" s="1">
        <v>16</v>
      </c>
      <c r="V89" s="1">
        <v>26</v>
      </c>
      <c r="W89" s="1">
        <v>21</v>
      </c>
      <c r="Y89" s="1">
        <v>23</v>
      </c>
      <c r="Z89" s="1">
        <v>23</v>
      </c>
      <c r="AC89" s="1">
        <v>19</v>
      </c>
      <c r="AD89" s="1">
        <v>8</v>
      </c>
      <c r="AE89" s="1" t="s">
        <v>93</v>
      </c>
      <c r="AF89" s="12">
        <v>38</v>
      </c>
      <c r="AG89" s="12">
        <v>6</v>
      </c>
      <c r="AH89" s="12">
        <v>32</v>
      </c>
      <c r="AI89" s="13">
        <v>51.611111111111114</v>
      </c>
      <c r="AJ89" s="13">
        <v>70</v>
      </c>
      <c r="AK89" s="13">
        <v>70</v>
      </c>
      <c r="AL89" s="13">
        <v>32</v>
      </c>
      <c r="AM89" s="14">
        <v>16</v>
      </c>
      <c r="AN89" s="14">
        <v>16</v>
      </c>
      <c r="AO89" s="3">
        <f t="shared" ref="AO89:AO90" si="13">AN89/AM89</f>
        <v>1</v>
      </c>
      <c r="AP89" s="14">
        <v>0</v>
      </c>
      <c r="AQ89" s="14">
        <v>36</v>
      </c>
      <c r="AR89" s="3">
        <f t="shared" si="0"/>
        <v>0</v>
      </c>
      <c r="AS89" s="1">
        <v>0</v>
      </c>
      <c r="AT89" s="1">
        <v>1</v>
      </c>
      <c r="AU89" s="1">
        <v>2</v>
      </c>
      <c r="AV89" s="1">
        <v>1</v>
      </c>
      <c r="AW89" s="1">
        <v>0</v>
      </c>
      <c r="AX89" s="1">
        <v>0</v>
      </c>
      <c r="AY89" s="1">
        <v>8</v>
      </c>
      <c r="AZ89" s="1">
        <f t="shared" si="1"/>
        <v>12</v>
      </c>
    </row>
    <row r="90" spans="1:52" ht="15.75" customHeight="1" x14ac:dyDescent="0.3">
      <c r="A90" s="1" t="s">
        <v>376</v>
      </c>
      <c r="B90" s="2" t="s">
        <v>377</v>
      </c>
      <c r="C90" s="2">
        <v>160000001</v>
      </c>
      <c r="D90" s="1" t="s">
        <v>123</v>
      </c>
      <c r="E90" s="1" t="s">
        <v>124</v>
      </c>
      <c r="F90" s="1" t="s">
        <v>67</v>
      </c>
      <c r="G90" s="1" t="s">
        <v>86</v>
      </c>
      <c r="H90" s="1" t="s">
        <v>87</v>
      </c>
      <c r="I90" s="1" t="s">
        <v>70</v>
      </c>
      <c r="J90" s="1" t="s">
        <v>125</v>
      </c>
      <c r="K90" s="1">
        <v>10</v>
      </c>
      <c r="L90" s="1" t="s">
        <v>74</v>
      </c>
      <c r="M90" s="1" t="s">
        <v>73</v>
      </c>
      <c r="N90" s="1" t="s">
        <v>74</v>
      </c>
      <c r="O90" s="1" t="s">
        <v>74</v>
      </c>
      <c r="P90" s="1" t="s">
        <v>8</v>
      </c>
      <c r="Q90" s="1" t="s">
        <v>90</v>
      </c>
      <c r="R90" s="1" t="s">
        <v>116</v>
      </c>
      <c r="S90" s="2"/>
      <c r="T90" s="1">
        <v>12</v>
      </c>
      <c r="U90" s="1">
        <v>18</v>
      </c>
      <c r="V90" s="1">
        <v>16</v>
      </c>
      <c r="W90" s="1">
        <v>19</v>
      </c>
      <c r="Y90" s="1">
        <v>13</v>
      </c>
      <c r="Z90" s="1">
        <v>12</v>
      </c>
      <c r="AC90" s="1">
        <v>4</v>
      </c>
      <c r="AD90" s="1">
        <v>1</v>
      </c>
      <c r="AE90" s="1" t="s">
        <v>93</v>
      </c>
      <c r="AF90" s="15">
        <v>8</v>
      </c>
      <c r="AG90" s="15">
        <v>0</v>
      </c>
      <c r="AH90" s="15">
        <v>8</v>
      </c>
      <c r="AI90" s="13">
        <v>52.5</v>
      </c>
      <c r="AJ90" s="13">
        <v>62</v>
      </c>
      <c r="AK90" s="13">
        <v>62</v>
      </c>
      <c r="AL90" s="13">
        <v>44</v>
      </c>
      <c r="AM90" s="14">
        <v>5</v>
      </c>
      <c r="AN90" s="14">
        <v>5</v>
      </c>
      <c r="AO90" s="3">
        <f t="shared" si="13"/>
        <v>1</v>
      </c>
      <c r="AP90" s="14">
        <v>0</v>
      </c>
      <c r="AQ90" s="14">
        <v>8</v>
      </c>
      <c r="AR90" s="3">
        <f t="shared" si="0"/>
        <v>0</v>
      </c>
      <c r="AS90" s="1">
        <v>4</v>
      </c>
      <c r="AT90" s="1">
        <v>2</v>
      </c>
      <c r="AU90" s="1">
        <v>1</v>
      </c>
      <c r="AV90" s="1">
        <v>0</v>
      </c>
      <c r="AW90" s="1">
        <v>0</v>
      </c>
      <c r="AX90" s="1">
        <v>6</v>
      </c>
      <c r="AY90" s="1">
        <v>2</v>
      </c>
      <c r="AZ90" s="1">
        <f t="shared" si="1"/>
        <v>15</v>
      </c>
    </row>
    <row r="91" spans="1:52" ht="15.75" customHeight="1" x14ac:dyDescent="0.3">
      <c r="A91" s="1" t="s">
        <v>378</v>
      </c>
      <c r="B91" s="2" t="s">
        <v>379</v>
      </c>
      <c r="C91" s="2">
        <v>160000001</v>
      </c>
      <c r="D91" s="1" t="s">
        <v>123</v>
      </c>
      <c r="E91" s="1" t="s">
        <v>124</v>
      </c>
      <c r="F91" s="1" t="s">
        <v>67</v>
      </c>
      <c r="G91" s="1" t="s">
        <v>86</v>
      </c>
      <c r="H91" s="1" t="s">
        <v>87</v>
      </c>
      <c r="I91" s="1" t="s">
        <v>70</v>
      </c>
      <c r="J91" s="1" t="s">
        <v>125</v>
      </c>
      <c r="K91" s="1">
        <v>10</v>
      </c>
      <c r="L91" s="1" t="s">
        <v>74</v>
      </c>
      <c r="M91" s="1" t="s">
        <v>73</v>
      </c>
      <c r="N91" s="1" t="s">
        <v>74</v>
      </c>
      <c r="O91" s="1" t="s">
        <v>74</v>
      </c>
      <c r="P91" s="1" t="s">
        <v>8</v>
      </c>
      <c r="Q91" s="1" t="s">
        <v>75</v>
      </c>
      <c r="R91" s="1" t="s">
        <v>380</v>
      </c>
      <c r="S91" s="2"/>
      <c r="T91" s="1">
        <v>8</v>
      </c>
      <c r="U91" s="1">
        <v>12</v>
      </c>
      <c r="V91" s="1">
        <v>9</v>
      </c>
      <c r="W91" s="1">
        <v>15</v>
      </c>
      <c r="Y91" s="1">
        <v>5</v>
      </c>
      <c r="Z91" s="1">
        <v>13</v>
      </c>
      <c r="AC91" s="1">
        <v>3</v>
      </c>
      <c r="AE91" s="1" t="s">
        <v>93</v>
      </c>
      <c r="AF91" s="15">
        <v>6</v>
      </c>
      <c r="AG91" s="15">
        <v>0</v>
      </c>
      <c r="AH91" s="15">
        <v>6</v>
      </c>
      <c r="AI91" s="13">
        <v>52.666666666666664</v>
      </c>
      <c r="AJ91" s="13">
        <v>58</v>
      </c>
      <c r="AK91" s="13">
        <v>58</v>
      </c>
      <c r="AL91" s="13">
        <v>46</v>
      </c>
      <c r="AM91" s="14"/>
      <c r="AN91" s="14"/>
      <c r="AO91" s="3"/>
      <c r="AP91" s="14">
        <v>0</v>
      </c>
      <c r="AQ91" s="14">
        <v>6</v>
      </c>
      <c r="AR91" s="3">
        <f t="shared" si="0"/>
        <v>0</v>
      </c>
      <c r="AS91" s="1">
        <v>1</v>
      </c>
      <c r="AT91" s="1">
        <v>0</v>
      </c>
      <c r="AU91" s="1">
        <v>6</v>
      </c>
      <c r="AV91" s="1">
        <v>7</v>
      </c>
      <c r="AW91" s="1">
        <v>0</v>
      </c>
      <c r="AX91" s="1">
        <v>0</v>
      </c>
      <c r="AY91" s="1">
        <v>2</v>
      </c>
      <c r="AZ91" s="1">
        <f t="shared" si="1"/>
        <v>16</v>
      </c>
    </row>
    <row r="92" spans="1:52" ht="15.75" customHeight="1" x14ac:dyDescent="0.3">
      <c r="A92" s="1" t="s">
        <v>381</v>
      </c>
      <c r="B92" s="2" t="s">
        <v>382</v>
      </c>
      <c r="C92" s="2">
        <v>160000001</v>
      </c>
      <c r="D92" s="1" t="s">
        <v>123</v>
      </c>
      <c r="E92" s="1" t="s">
        <v>124</v>
      </c>
      <c r="F92" s="1" t="s">
        <v>67</v>
      </c>
      <c r="G92" s="1" t="s">
        <v>86</v>
      </c>
      <c r="H92" s="1" t="s">
        <v>87</v>
      </c>
      <c r="I92" s="1" t="s">
        <v>70</v>
      </c>
      <c r="J92" s="1" t="s">
        <v>125</v>
      </c>
      <c r="K92" s="1">
        <v>10</v>
      </c>
      <c r="L92" s="1" t="s">
        <v>74</v>
      </c>
      <c r="M92" s="1" t="s">
        <v>73</v>
      </c>
      <c r="N92" s="1" t="s">
        <v>74</v>
      </c>
      <c r="O92" s="1" t="s">
        <v>74</v>
      </c>
      <c r="P92" s="1" t="s">
        <v>8</v>
      </c>
      <c r="Q92" s="1" t="s">
        <v>80</v>
      </c>
      <c r="R92" s="1" t="s">
        <v>383</v>
      </c>
      <c r="S92" s="2"/>
      <c r="AC92" s="1">
        <v>15</v>
      </c>
      <c r="AD92" s="1">
        <v>11</v>
      </c>
      <c r="AE92" s="1" t="s">
        <v>93</v>
      </c>
      <c r="AF92" s="12">
        <v>30</v>
      </c>
      <c r="AG92" s="12">
        <v>4</v>
      </c>
      <c r="AH92" s="12">
        <v>26</v>
      </c>
      <c r="AI92" s="13">
        <v>53.571428571428569</v>
      </c>
      <c r="AJ92" s="13">
        <v>68</v>
      </c>
      <c r="AK92" s="13">
        <v>68</v>
      </c>
      <c r="AL92" s="13">
        <v>35</v>
      </c>
      <c r="AM92" s="14">
        <v>21</v>
      </c>
      <c r="AN92" s="14">
        <v>21</v>
      </c>
      <c r="AO92" s="3">
        <f>AN92/AM92</f>
        <v>1</v>
      </c>
      <c r="AP92" s="14">
        <v>2</v>
      </c>
      <c r="AQ92" s="14">
        <v>26</v>
      </c>
      <c r="AR92" s="3">
        <f t="shared" si="0"/>
        <v>7.6923076923076927E-2</v>
      </c>
      <c r="AZ92" s="1">
        <f t="shared" si="1"/>
        <v>0</v>
      </c>
    </row>
    <row r="93" spans="1:52" ht="15.75" customHeight="1" x14ac:dyDescent="0.3">
      <c r="A93" s="1" t="s">
        <v>384</v>
      </c>
      <c r="B93" s="2" t="s">
        <v>385</v>
      </c>
      <c r="C93" s="2">
        <v>160000001</v>
      </c>
      <c r="D93" s="1" t="s">
        <v>123</v>
      </c>
      <c r="E93" s="1" t="s">
        <v>124</v>
      </c>
      <c r="F93" s="1" t="s">
        <v>67</v>
      </c>
      <c r="G93" s="1" t="s">
        <v>86</v>
      </c>
      <c r="H93" s="1" t="s">
        <v>87</v>
      </c>
      <c r="I93" s="1" t="s">
        <v>70</v>
      </c>
      <c r="J93" s="1" t="s">
        <v>125</v>
      </c>
      <c r="K93" s="1">
        <v>10</v>
      </c>
      <c r="L93" s="1" t="s">
        <v>74</v>
      </c>
      <c r="M93" s="1" t="s">
        <v>73</v>
      </c>
      <c r="N93" s="1" t="s">
        <v>74</v>
      </c>
      <c r="O93" s="1" t="s">
        <v>74</v>
      </c>
      <c r="P93" s="1" t="s">
        <v>8</v>
      </c>
      <c r="Q93" s="1" t="s">
        <v>80</v>
      </c>
      <c r="R93" s="1" t="s">
        <v>386</v>
      </c>
      <c r="S93" s="2"/>
      <c r="T93" s="1">
        <v>40</v>
      </c>
      <c r="U93" s="1">
        <v>41</v>
      </c>
      <c r="V93" s="1">
        <v>30</v>
      </c>
      <c r="W93" s="1">
        <v>26</v>
      </c>
      <c r="Y93" s="1">
        <v>29</v>
      </c>
      <c r="AC93" s="1">
        <v>9</v>
      </c>
      <c r="AD93" s="1">
        <v>3</v>
      </c>
      <c r="AE93" s="1" t="s">
        <v>93</v>
      </c>
      <c r="AF93" s="15">
        <v>18</v>
      </c>
      <c r="AG93" s="15">
        <v>8</v>
      </c>
      <c r="AH93" s="15">
        <v>10</v>
      </c>
      <c r="AI93" s="13">
        <v>54.666666666666664</v>
      </c>
      <c r="AJ93" s="13">
        <v>62</v>
      </c>
      <c r="AK93" s="13">
        <v>62</v>
      </c>
      <c r="AL93" s="13">
        <v>46</v>
      </c>
      <c r="AM93" s="14"/>
      <c r="AN93" s="14"/>
      <c r="AO93" s="3"/>
      <c r="AP93" s="14">
        <v>0</v>
      </c>
      <c r="AQ93" s="14">
        <v>18</v>
      </c>
      <c r="AR93" s="3">
        <f t="shared" si="0"/>
        <v>0</v>
      </c>
      <c r="AS93" s="1">
        <v>1</v>
      </c>
      <c r="AT93" s="1">
        <v>6</v>
      </c>
      <c r="AU93" s="1">
        <v>2</v>
      </c>
      <c r="AV93" s="1">
        <v>4</v>
      </c>
      <c r="AW93" s="1">
        <v>0</v>
      </c>
      <c r="AX93" s="1">
        <v>1</v>
      </c>
      <c r="AY93" s="1">
        <v>6</v>
      </c>
      <c r="AZ93" s="1">
        <f t="shared" si="1"/>
        <v>20</v>
      </c>
    </row>
    <row r="94" spans="1:52" ht="15.75" customHeight="1" x14ac:dyDescent="0.3">
      <c r="A94" s="1" t="s">
        <v>387</v>
      </c>
      <c r="B94" s="2" t="s">
        <v>388</v>
      </c>
      <c r="C94" s="2">
        <v>160000007</v>
      </c>
      <c r="D94" s="1" t="s">
        <v>129</v>
      </c>
      <c r="E94" s="1" t="s">
        <v>130</v>
      </c>
      <c r="F94" s="1" t="s">
        <v>67</v>
      </c>
      <c r="G94" s="1" t="s">
        <v>86</v>
      </c>
      <c r="H94" s="1" t="s">
        <v>87</v>
      </c>
      <c r="I94" s="1" t="s">
        <v>70</v>
      </c>
      <c r="J94" s="1" t="s">
        <v>131</v>
      </c>
      <c r="K94" s="1">
        <v>8</v>
      </c>
      <c r="L94" s="1" t="s">
        <v>132</v>
      </c>
      <c r="M94" s="1" t="s">
        <v>73</v>
      </c>
      <c r="N94" s="1" t="s">
        <v>74</v>
      </c>
      <c r="O94" s="1" t="s">
        <v>74</v>
      </c>
      <c r="P94" s="1" t="s">
        <v>8</v>
      </c>
      <c r="Q94" s="1" t="s">
        <v>195</v>
      </c>
      <c r="R94" s="1" t="s">
        <v>389</v>
      </c>
      <c r="S94" s="2">
        <v>2015</v>
      </c>
      <c r="U94" s="1">
        <v>23</v>
      </c>
      <c r="V94" s="1">
        <v>26</v>
      </c>
      <c r="W94" s="1">
        <v>11</v>
      </c>
      <c r="X94" s="1">
        <v>16</v>
      </c>
      <c r="Y94" s="1">
        <v>9</v>
      </c>
      <c r="Z94" s="1">
        <v>7</v>
      </c>
      <c r="AA94" s="1">
        <v>7</v>
      </c>
      <c r="AB94" s="1">
        <v>5</v>
      </c>
      <c r="AC94" s="1">
        <v>3</v>
      </c>
      <c r="AD94" s="1">
        <v>3</v>
      </c>
      <c r="AE94" s="1" t="s">
        <v>77</v>
      </c>
      <c r="AF94" s="12">
        <v>5</v>
      </c>
      <c r="AG94" s="12">
        <v>1</v>
      </c>
      <c r="AH94" s="12">
        <v>4</v>
      </c>
      <c r="AI94" s="13">
        <v>56.2</v>
      </c>
      <c r="AJ94" s="13">
        <v>67</v>
      </c>
      <c r="AK94" s="13">
        <v>49</v>
      </c>
      <c r="AL94" s="13">
        <v>8.9833178725902716</v>
      </c>
      <c r="AM94" s="14">
        <v>2</v>
      </c>
      <c r="AN94" s="14"/>
      <c r="AO94" s="3">
        <f t="shared" ref="AO94:AO97" si="14">AN94/AM94</f>
        <v>0</v>
      </c>
      <c r="AP94" s="14">
        <v>1</v>
      </c>
      <c r="AQ94" s="14">
        <v>4</v>
      </c>
      <c r="AR94" s="3">
        <f t="shared" si="0"/>
        <v>0.25</v>
      </c>
      <c r="AZ94" s="1">
        <f t="shared" si="1"/>
        <v>0</v>
      </c>
    </row>
    <row r="95" spans="1:52" ht="15.75" customHeight="1" x14ac:dyDescent="0.3">
      <c r="A95" s="1" t="s">
        <v>390</v>
      </c>
      <c r="B95" s="2" t="s">
        <v>391</v>
      </c>
      <c r="C95" s="2">
        <v>160000001</v>
      </c>
      <c r="D95" s="1" t="s">
        <v>123</v>
      </c>
      <c r="E95" s="1" t="s">
        <v>124</v>
      </c>
      <c r="F95" s="1" t="s">
        <v>67</v>
      </c>
      <c r="G95" s="1" t="s">
        <v>86</v>
      </c>
      <c r="H95" s="1" t="s">
        <v>87</v>
      </c>
      <c r="I95" s="1" t="s">
        <v>70</v>
      </c>
      <c r="J95" s="1" t="s">
        <v>125</v>
      </c>
      <c r="K95" s="1">
        <v>10</v>
      </c>
      <c r="L95" s="1" t="s">
        <v>74</v>
      </c>
      <c r="M95" s="1" t="s">
        <v>73</v>
      </c>
      <c r="N95" s="1" t="s">
        <v>74</v>
      </c>
      <c r="O95" s="1" t="s">
        <v>74</v>
      </c>
      <c r="P95" s="1" t="s">
        <v>8</v>
      </c>
      <c r="Q95" s="1" t="s">
        <v>80</v>
      </c>
      <c r="R95" s="1" t="s">
        <v>392</v>
      </c>
      <c r="S95" s="2"/>
      <c r="AD95" s="1">
        <v>1</v>
      </c>
      <c r="AE95" s="1" t="s">
        <v>138</v>
      </c>
      <c r="AF95" s="12">
        <v>2</v>
      </c>
      <c r="AG95" s="12">
        <v>2</v>
      </c>
      <c r="AH95" s="12">
        <v>0</v>
      </c>
      <c r="AI95" s="12">
        <v>57</v>
      </c>
      <c r="AJ95" s="12">
        <v>57</v>
      </c>
      <c r="AK95" s="12">
        <v>57</v>
      </c>
      <c r="AL95" s="12">
        <v>0</v>
      </c>
      <c r="AM95" s="14">
        <v>15</v>
      </c>
      <c r="AN95" s="14">
        <v>15</v>
      </c>
      <c r="AO95" s="3">
        <f t="shared" si="14"/>
        <v>1</v>
      </c>
      <c r="AP95" s="14">
        <v>0</v>
      </c>
      <c r="AQ95" s="14">
        <v>2</v>
      </c>
      <c r="AR95" s="3">
        <f t="shared" si="0"/>
        <v>0</v>
      </c>
      <c r="AZ95" s="1">
        <f t="shared" si="1"/>
        <v>0</v>
      </c>
    </row>
    <row r="96" spans="1:52" ht="15.75" customHeight="1" x14ac:dyDescent="0.3">
      <c r="A96" s="1" t="s">
        <v>393</v>
      </c>
      <c r="B96" s="2" t="s">
        <v>394</v>
      </c>
      <c r="C96" s="2">
        <v>160000006</v>
      </c>
      <c r="D96" s="1" t="s">
        <v>84</v>
      </c>
      <c r="E96" s="1" t="s">
        <v>85</v>
      </c>
      <c r="F96" s="1" t="s">
        <v>67</v>
      </c>
      <c r="G96" s="1" t="s">
        <v>86</v>
      </c>
      <c r="H96" s="1" t="s">
        <v>87</v>
      </c>
      <c r="I96" s="1" t="s">
        <v>70</v>
      </c>
      <c r="J96" s="1" t="s">
        <v>88</v>
      </c>
      <c r="K96" s="1">
        <v>10</v>
      </c>
      <c r="L96" s="1" t="s">
        <v>89</v>
      </c>
      <c r="M96" s="1" t="s">
        <v>73</v>
      </c>
      <c r="N96" s="1" t="s">
        <v>74</v>
      </c>
      <c r="O96" s="1" t="s">
        <v>74</v>
      </c>
      <c r="P96" s="1" t="s">
        <v>8</v>
      </c>
      <c r="Q96" s="1" t="s">
        <v>90</v>
      </c>
      <c r="R96" s="1" t="s">
        <v>395</v>
      </c>
      <c r="S96" s="2"/>
      <c r="T96" s="1">
        <v>6</v>
      </c>
      <c r="AE96" s="1" t="s">
        <v>110</v>
      </c>
      <c r="AF96" s="12">
        <v>12</v>
      </c>
      <c r="AG96" s="12">
        <v>0</v>
      </c>
      <c r="AH96" s="12">
        <v>12</v>
      </c>
      <c r="AI96" s="12">
        <v>57.166666666666664</v>
      </c>
      <c r="AJ96" s="12">
        <v>68</v>
      </c>
      <c r="AK96" s="12">
        <v>38</v>
      </c>
      <c r="AL96" s="12">
        <v>10.24103451213732</v>
      </c>
      <c r="AM96" s="14">
        <v>5</v>
      </c>
      <c r="AN96" s="14">
        <v>5</v>
      </c>
      <c r="AO96" s="3">
        <f t="shared" si="14"/>
        <v>1</v>
      </c>
      <c r="AP96" s="14">
        <v>0</v>
      </c>
      <c r="AQ96" s="14">
        <v>12</v>
      </c>
      <c r="AR96" s="3">
        <f t="shared" si="0"/>
        <v>0</v>
      </c>
      <c r="AZ96" s="1">
        <f t="shared" si="1"/>
        <v>0</v>
      </c>
    </row>
    <row r="97" spans="1:52" ht="15.75" customHeight="1" x14ac:dyDescent="0.3">
      <c r="A97" s="1" t="s">
        <v>396</v>
      </c>
      <c r="B97" s="2" t="s">
        <v>397</v>
      </c>
      <c r="C97" s="2">
        <v>160000006</v>
      </c>
      <c r="D97" s="1" t="s">
        <v>84</v>
      </c>
      <c r="E97" s="1" t="s">
        <v>85</v>
      </c>
      <c r="F97" s="1" t="s">
        <v>67</v>
      </c>
      <c r="G97" s="1" t="s">
        <v>86</v>
      </c>
      <c r="H97" s="1" t="s">
        <v>87</v>
      </c>
      <c r="I97" s="1" t="s">
        <v>70</v>
      </c>
      <c r="J97" s="1" t="s">
        <v>88</v>
      </c>
      <c r="K97" s="1">
        <v>10</v>
      </c>
      <c r="L97" s="1" t="s">
        <v>89</v>
      </c>
      <c r="M97" s="1" t="s">
        <v>73</v>
      </c>
      <c r="N97" s="1" t="s">
        <v>74</v>
      </c>
      <c r="O97" s="1" t="s">
        <v>74</v>
      </c>
      <c r="P97" s="1" t="s">
        <v>8</v>
      </c>
      <c r="Q97" s="1" t="s">
        <v>90</v>
      </c>
      <c r="R97" s="1" t="s">
        <v>398</v>
      </c>
      <c r="S97" s="2">
        <v>2015</v>
      </c>
      <c r="AC97" s="1">
        <v>1</v>
      </c>
      <c r="AE97" s="1" t="s">
        <v>93</v>
      </c>
      <c r="AF97" s="15">
        <v>2</v>
      </c>
      <c r="AG97" s="15">
        <v>0</v>
      </c>
      <c r="AH97" s="15">
        <v>2</v>
      </c>
      <c r="AI97" s="13">
        <v>61</v>
      </c>
      <c r="AJ97" s="13">
        <v>61</v>
      </c>
      <c r="AK97" s="13">
        <v>61</v>
      </c>
      <c r="AL97" s="13">
        <v>61</v>
      </c>
      <c r="AM97" s="14">
        <v>1</v>
      </c>
      <c r="AN97" s="14">
        <v>1</v>
      </c>
      <c r="AO97" s="3">
        <f t="shared" si="14"/>
        <v>1</v>
      </c>
      <c r="AP97" s="14">
        <v>0</v>
      </c>
      <c r="AQ97" s="14">
        <v>2</v>
      </c>
      <c r="AR97" s="3">
        <f t="shared" si="0"/>
        <v>0</v>
      </c>
      <c r="AZ97" s="1">
        <f t="shared" si="1"/>
        <v>0</v>
      </c>
    </row>
    <row r="98" spans="1:52" ht="15.75" customHeight="1" x14ac:dyDescent="0.3">
      <c r="A98" s="1" t="s">
        <v>399</v>
      </c>
      <c r="B98" s="2" t="s">
        <v>400</v>
      </c>
      <c r="C98" s="2">
        <v>160000001</v>
      </c>
      <c r="D98" s="1" t="s">
        <v>123</v>
      </c>
      <c r="E98" s="1" t="s">
        <v>124</v>
      </c>
      <c r="F98" s="1" t="s">
        <v>67</v>
      </c>
      <c r="G98" s="1" t="s">
        <v>86</v>
      </c>
      <c r="H98" s="1" t="s">
        <v>87</v>
      </c>
      <c r="I98" s="1" t="s">
        <v>70</v>
      </c>
      <c r="J98" s="1" t="s">
        <v>125</v>
      </c>
      <c r="K98" s="1">
        <v>10</v>
      </c>
      <c r="L98" s="1" t="s">
        <v>74</v>
      </c>
      <c r="M98" s="1" t="s">
        <v>73</v>
      </c>
      <c r="N98" s="1" t="s">
        <v>74</v>
      </c>
      <c r="O98" s="1" t="s">
        <v>74</v>
      </c>
      <c r="P98" s="1" t="s">
        <v>8</v>
      </c>
      <c r="Q98" s="1" t="s">
        <v>90</v>
      </c>
      <c r="R98" s="1" t="s">
        <v>401</v>
      </c>
      <c r="S98" s="2">
        <v>2018</v>
      </c>
      <c r="U98" s="1">
        <v>10</v>
      </c>
      <c r="V98" s="1">
        <v>10</v>
      </c>
      <c r="W98" s="1">
        <v>7</v>
      </c>
      <c r="Y98" s="1">
        <v>1</v>
      </c>
      <c r="Z98" s="1">
        <v>1</v>
      </c>
      <c r="AC98" s="1">
        <v>1</v>
      </c>
      <c r="AE98" s="1" t="s">
        <v>93</v>
      </c>
      <c r="AF98" s="15">
        <v>2</v>
      </c>
      <c r="AG98" s="15">
        <v>0</v>
      </c>
      <c r="AH98" s="15">
        <v>2</v>
      </c>
      <c r="AI98" s="13">
        <v>64</v>
      </c>
      <c r="AJ98" s="13">
        <v>64</v>
      </c>
      <c r="AK98" s="13">
        <v>64</v>
      </c>
      <c r="AL98" s="13">
        <v>64</v>
      </c>
      <c r="AM98" s="14"/>
      <c r="AN98" s="14"/>
      <c r="AO98" s="3"/>
      <c r="AP98" s="14">
        <v>0</v>
      </c>
      <c r="AQ98" s="14">
        <v>2</v>
      </c>
      <c r="AR98" s="3">
        <f t="shared" si="0"/>
        <v>0</v>
      </c>
      <c r="AS98" s="1">
        <v>7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1</v>
      </c>
      <c r="AZ98" s="1">
        <f t="shared" si="1"/>
        <v>8</v>
      </c>
    </row>
    <row r="99" spans="1:52" ht="15.75" customHeight="1" x14ac:dyDescent="0.3">
      <c r="A99" s="1" t="s">
        <v>402</v>
      </c>
      <c r="B99" s="2" t="s">
        <v>403</v>
      </c>
      <c r="C99" s="2">
        <v>260000014</v>
      </c>
      <c r="D99" s="1" t="s">
        <v>65</v>
      </c>
      <c r="E99" s="1" t="s">
        <v>66</v>
      </c>
      <c r="F99" s="1" t="s">
        <v>67</v>
      </c>
      <c r="G99" s="1" t="s">
        <v>68</v>
      </c>
      <c r="H99" s="1" t="s">
        <v>69</v>
      </c>
      <c r="I99" s="1" t="s">
        <v>70</v>
      </c>
      <c r="J99" s="1" t="s">
        <v>71</v>
      </c>
      <c r="K99" s="1">
        <v>10</v>
      </c>
      <c r="L99" s="1" t="s">
        <v>72</v>
      </c>
      <c r="M99" s="1" t="s">
        <v>73</v>
      </c>
      <c r="N99" s="1" t="s">
        <v>74</v>
      </c>
      <c r="O99" s="1" t="s">
        <v>74</v>
      </c>
      <c r="P99" s="1" t="s">
        <v>8</v>
      </c>
      <c r="Q99" s="1" t="s">
        <v>75</v>
      </c>
      <c r="R99" s="1" t="s">
        <v>404</v>
      </c>
      <c r="S99" s="2"/>
      <c r="AB99" s="1">
        <v>1</v>
      </c>
      <c r="AC99" s="1">
        <v>1</v>
      </c>
      <c r="AE99" s="1" t="s">
        <v>77</v>
      </c>
      <c r="AF99" s="12">
        <v>1</v>
      </c>
      <c r="AG99" s="12">
        <v>0</v>
      </c>
      <c r="AH99" s="12">
        <v>1</v>
      </c>
      <c r="AI99" s="13">
        <v>65</v>
      </c>
      <c r="AJ99" s="13">
        <v>65</v>
      </c>
      <c r="AK99" s="13">
        <v>65</v>
      </c>
      <c r="AL99" s="13">
        <v>0</v>
      </c>
      <c r="AM99" s="14"/>
      <c r="AN99" s="14"/>
      <c r="AO99" s="3"/>
      <c r="AP99" s="14">
        <v>0</v>
      </c>
      <c r="AQ99" s="14">
        <v>1</v>
      </c>
      <c r="AR99" s="3">
        <f t="shared" si="0"/>
        <v>0</v>
      </c>
      <c r="AZ99" s="1">
        <f t="shared" si="1"/>
        <v>0</v>
      </c>
    </row>
    <row r="100" spans="1:52" ht="15.75" customHeight="1" x14ac:dyDescent="0.3">
      <c r="A100" s="1" t="s">
        <v>405</v>
      </c>
      <c r="B100" s="2" t="s">
        <v>406</v>
      </c>
      <c r="C100" s="2">
        <v>160000011</v>
      </c>
      <c r="D100" s="2" t="s">
        <v>407</v>
      </c>
      <c r="E100" s="1" t="s">
        <v>408</v>
      </c>
      <c r="F100" s="2" t="s">
        <v>67</v>
      </c>
      <c r="G100" s="2" t="s">
        <v>86</v>
      </c>
      <c r="H100" s="2" t="s">
        <v>87</v>
      </c>
      <c r="I100" s="2" t="s">
        <v>409</v>
      </c>
      <c r="J100" s="1" t="s">
        <v>105</v>
      </c>
      <c r="K100" s="1">
        <v>8</v>
      </c>
      <c r="L100" s="1" t="s">
        <v>410</v>
      </c>
      <c r="M100" s="1" t="s">
        <v>411</v>
      </c>
      <c r="N100" s="1" t="s">
        <v>412</v>
      </c>
      <c r="O100" s="1" t="s">
        <v>413</v>
      </c>
      <c r="P100" s="1" t="s">
        <v>8</v>
      </c>
      <c r="Q100" s="1" t="s">
        <v>90</v>
      </c>
      <c r="R100" s="2" t="s">
        <v>414</v>
      </c>
      <c r="S100" s="2"/>
      <c r="AF100" s="12"/>
      <c r="AG100" s="12"/>
      <c r="AH100" s="12"/>
      <c r="AI100" s="12"/>
      <c r="AJ100" s="12"/>
      <c r="AK100" s="12"/>
      <c r="AL100" s="12"/>
      <c r="AM100" s="14">
        <v>35</v>
      </c>
      <c r="AN100" s="14">
        <v>32</v>
      </c>
      <c r="AO100" s="3">
        <f t="shared" ref="AO100:AO109" si="15">AN100/AM100</f>
        <v>0.91428571428571426</v>
      </c>
      <c r="AP100" s="14"/>
      <c r="AQ100" s="14"/>
      <c r="AR100" s="3"/>
      <c r="AZ100" s="1">
        <f t="shared" si="1"/>
        <v>0</v>
      </c>
    </row>
    <row r="101" spans="1:52" ht="15.75" customHeight="1" x14ac:dyDescent="0.3">
      <c r="A101" s="1" t="s">
        <v>415</v>
      </c>
      <c r="B101" s="2" t="s">
        <v>416</v>
      </c>
      <c r="C101" s="2">
        <v>160000011</v>
      </c>
      <c r="D101" s="2" t="s">
        <v>407</v>
      </c>
      <c r="E101" s="1" t="s">
        <v>408</v>
      </c>
      <c r="F101" s="2" t="s">
        <v>67</v>
      </c>
      <c r="G101" s="2" t="s">
        <v>86</v>
      </c>
      <c r="H101" s="2" t="s">
        <v>87</v>
      </c>
      <c r="I101" s="2" t="s">
        <v>409</v>
      </c>
      <c r="J101" s="1" t="s">
        <v>105</v>
      </c>
      <c r="K101" s="1">
        <v>8</v>
      </c>
      <c r="L101" s="1" t="s">
        <v>410</v>
      </c>
      <c r="M101" s="1" t="s">
        <v>411</v>
      </c>
      <c r="N101" s="1" t="s">
        <v>412</v>
      </c>
      <c r="O101" s="1" t="s">
        <v>413</v>
      </c>
      <c r="P101" s="1" t="s">
        <v>8</v>
      </c>
      <c r="Q101" s="1" t="s">
        <v>90</v>
      </c>
      <c r="R101" s="2" t="s">
        <v>417</v>
      </c>
      <c r="S101" s="2"/>
      <c r="AF101" s="12"/>
      <c r="AG101" s="12"/>
      <c r="AH101" s="12"/>
      <c r="AI101" s="12"/>
      <c r="AJ101" s="12"/>
      <c r="AK101" s="12"/>
      <c r="AL101" s="12"/>
      <c r="AM101" s="14">
        <v>19</v>
      </c>
      <c r="AN101" s="14">
        <v>20</v>
      </c>
      <c r="AO101" s="3">
        <f t="shared" si="15"/>
        <v>1.0526315789473684</v>
      </c>
      <c r="AP101" s="14"/>
      <c r="AQ101" s="14"/>
      <c r="AR101" s="3"/>
      <c r="AZ101" s="1">
        <f t="shared" si="1"/>
        <v>0</v>
      </c>
    </row>
    <row r="102" spans="1:52" ht="15.75" customHeight="1" x14ac:dyDescent="0.3">
      <c r="A102" s="1" t="s">
        <v>418</v>
      </c>
      <c r="B102" s="2" t="s">
        <v>419</v>
      </c>
      <c r="C102" s="2">
        <v>160000006</v>
      </c>
      <c r="D102" s="2" t="s">
        <v>84</v>
      </c>
      <c r="E102" s="1" t="s">
        <v>85</v>
      </c>
      <c r="F102" s="2" t="s">
        <v>67</v>
      </c>
      <c r="G102" s="2" t="s">
        <v>86</v>
      </c>
      <c r="H102" s="2" t="s">
        <v>87</v>
      </c>
      <c r="I102" s="2" t="s">
        <v>409</v>
      </c>
      <c r="J102" s="1" t="s">
        <v>88</v>
      </c>
      <c r="K102" s="1">
        <v>10</v>
      </c>
      <c r="L102" s="1" t="s">
        <v>89</v>
      </c>
      <c r="M102" s="1" t="s">
        <v>73</v>
      </c>
      <c r="N102" s="1" t="s">
        <v>74</v>
      </c>
      <c r="O102" s="1" t="s">
        <v>74</v>
      </c>
      <c r="P102" s="1" t="s">
        <v>8</v>
      </c>
      <c r="Q102" s="1" t="s">
        <v>141</v>
      </c>
      <c r="R102" s="2" t="s">
        <v>420</v>
      </c>
      <c r="S102" s="2"/>
      <c r="AF102" s="12"/>
      <c r="AG102" s="12"/>
      <c r="AH102" s="12"/>
      <c r="AI102" s="12"/>
      <c r="AJ102" s="12"/>
      <c r="AK102" s="12"/>
      <c r="AL102" s="12"/>
      <c r="AM102" s="14">
        <v>9</v>
      </c>
      <c r="AN102" s="14">
        <v>9</v>
      </c>
      <c r="AO102" s="3">
        <f t="shared" si="15"/>
        <v>1</v>
      </c>
      <c r="AP102" s="14"/>
      <c r="AQ102" s="14"/>
      <c r="AR102" s="3"/>
      <c r="AZ102" s="1">
        <f t="shared" si="1"/>
        <v>0</v>
      </c>
    </row>
    <row r="103" spans="1:52" ht="15.75" customHeight="1" x14ac:dyDescent="0.3">
      <c r="A103" s="1" t="s">
        <v>421</v>
      </c>
      <c r="B103" s="2" t="s">
        <v>422</v>
      </c>
      <c r="C103" s="2">
        <v>160000006</v>
      </c>
      <c r="D103" s="2" t="s">
        <v>84</v>
      </c>
      <c r="E103" s="1" t="s">
        <v>85</v>
      </c>
      <c r="F103" s="2" t="s">
        <v>67</v>
      </c>
      <c r="G103" s="2" t="s">
        <v>86</v>
      </c>
      <c r="H103" s="2" t="s">
        <v>87</v>
      </c>
      <c r="I103" s="2" t="s">
        <v>409</v>
      </c>
      <c r="J103" s="1" t="s">
        <v>88</v>
      </c>
      <c r="K103" s="1">
        <v>10</v>
      </c>
      <c r="L103" s="1" t="s">
        <v>89</v>
      </c>
      <c r="M103" s="1" t="s">
        <v>73</v>
      </c>
      <c r="N103" s="1" t="s">
        <v>74</v>
      </c>
      <c r="O103" s="1" t="s">
        <v>74</v>
      </c>
      <c r="P103" s="1" t="s">
        <v>8</v>
      </c>
      <c r="Q103" s="1" t="s">
        <v>141</v>
      </c>
      <c r="R103" s="2" t="s">
        <v>423</v>
      </c>
      <c r="S103" s="2"/>
      <c r="AF103" s="12"/>
      <c r="AG103" s="12"/>
      <c r="AH103" s="12"/>
      <c r="AI103" s="12"/>
      <c r="AJ103" s="12"/>
      <c r="AK103" s="12"/>
      <c r="AL103" s="12"/>
      <c r="AM103" s="14">
        <v>13</v>
      </c>
      <c r="AN103" s="14">
        <v>13</v>
      </c>
      <c r="AO103" s="3">
        <f t="shared" si="15"/>
        <v>1</v>
      </c>
      <c r="AP103" s="14"/>
      <c r="AQ103" s="14"/>
      <c r="AR103" s="3"/>
      <c r="AZ103" s="1">
        <f t="shared" si="1"/>
        <v>0</v>
      </c>
    </row>
    <row r="104" spans="1:52" ht="15.75" customHeight="1" x14ac:dyDescent="0.3">
      <c r="A104" s="1" t="s">
        <v>424</v>
      </c>
      <c r="B104" s="2" t="s">
        <v>425</v>
      </c>
      <c r="C104" s="2">
        <v>160000011</v>
      </c>
      <c r="D104" s="2" t="s">
        <v>407</v>
      </c>
      <c r="E104" s="1" t="s">
        <v>408</v>
      </c>
      <c r="F104" s="2" t="s">
        <v>67</v>
      </c>
      <c r="G104" s="2" t="s">
        <v>86</v>
      </c>
      <c r="H104" s="2" t="s">
        <v>87</v>
      </c>
      <c r="I104" s="2" t="s">
        <v>409</v>
      </c>
      <c r="J104" s="1" t="s">
        <v>105</v>
      </c>
      <c r="K104" s="1">
        <v>8</v>
      </c>
      <c r="L104" s="1" t="s">
        <v>410</v>
      </c>
      <c r="M104" s="1" t="s">
        <v>411</v>
      </c>
      <c r="N104" s="1" t="s">
        <v>412</v>
      </c>
      <c r="O104" s="1" t="s">
        <v>413</v>
      </c>
      <c r="P104" s="1" t="s">
        <v>8</v>
      </c>
      <c r="Q104" s="1" t="s">
        <v>80</v>
      </c>
      <c r="R104" s="2" t="s">
        <v>426</v>
      </c>
      <c r="S104" s="2"/>
      <c r="AF104" s="12"/>
      <c r="AG104" s="12"/>
      <c r="AH104" s="12"/>
      <c r="AI104" s="12"/>
      <c r="AJ104" s="12"/>
      <c r="AK104" s="12"/>
      <c r="AL104" s="12"/>
      <c r="AM104" s="14">
        <v>31</v>
      </c>
      <c r="AN104" s="14">
        <v>26</v>
      </c>
      <c r="AO104" s="3">
        <f t="shared" si="15"/>
        <v>0.83870967741935487</v>
      </c>
      <c r="AP104" s="14"/>
      <c r="AQ104" s="14"/>
      <c r="AR104" s="3"/>
      <c r="AZ104" s="1">
        <f t="shared" si="1"/>
        <v>0</v>
      </c>
    </row>
    <row r="105" spans="1:52" ht="15.75" customHeight="1" x14ac:dyDescent="0.3">
      <c r="A105" s="1" t="s">
        <v>427</v>
      </c>
      <c r="B105" s="2" t="s">
        <v>428</v>
      </c>
      <c r="C105" s="2">
        <v>160000006</v>
      </c>
      <c r="D105" s="2" t="s">
        <v>84</v>
      </c>
      <c r="E105" s="1" t="s">
        <v>85</v>
      </c>
      <c r="F105" s="2" t="s">
        <v>67</v>
      </c>
      <c r="G105" s="2" t="s">
        <v>86</v>
      </c>
      <c r="H105" s="2" t="s">
        <v>87</v>
      </c>
      <c r="I105" s="2" t="s">
        <v>409</v>
      </c>
      <c r="J105" s="1" t="s">
        <v>88</v>
      </c>
      <c r="K105" s="1">
        <v>10</v>
      </c>
      <c r="L105" s="1" t="s">
        <v>89</v>
      </c>
      <c r="M105" s="1" t="s">
        <v>73</v>
      </c>
      <c r="N105" s="1" t="s">
        <v>74</v>
      </c>
      <c r="O105" s="1" t="s">
        <v>74</v>
      </c>
      <c r="P105" s="1" t="s">
        <v>8</v>
      </c>
      <c r="Q105" s="1" t="s">
        <v>141</v>
      </c>
      <c r="R105" s="2" t="s">
        <v>429</v>
      </c>
      <c r="S105" s="2"/>
      <c r="AF105" s="12"/>
      <c r="AG105" s="12"/>
      <c r="AH105" s="12"/>
      <c r="AI105" s="12"/>
      <c r="AJ105" s="12"/>
      <c r="AK105" s="12"/>
      <c r="AL105" s="12"/>
      <c r="AM105" s="14">
        <v>10</v>
      </c>
      <c r="AN105" s="14">
        <v>10</v>
      </c>
      <c r="AO105" s="3">
        <f t="shared" si="15"/>
        <v>1</v>
      </c>
      <c r="AP105" s="14"/>
      <c r="AQ105" s="14"/>
      <c r="AR105" s="3"/>
      <c r="AZ105" s="1">
        <f t="shared" si="1"/>
        <v>0</v>
      </c>
    </row>
    <row r="106" spans="1:52" ht="15.75" customHeight="1" x14ac:dyDescent="0.3">
      <c r="A106" s="1" t="s">
        <v>430</v>
      </c>
      <c r="B106" s="2" t="s">
        <v>431</v>
      </c>
      <c r="C106" s="2">
        <v>160000011</v>
      </c>
      <c r="D106" s="2" t="s">
        <v>407</v>
      </c>
      <c r="E106" s="1" t="s">
        <v>408</v>
      </c>
      <c r="F106" s="2" t="s">
        <v>67</v>
      </c>
      <c r="G106" s="2" t="s">
        <v>86</v>
      </c>
      <c r="H106" s="2" t="s">
        <v>87</v>
      </c>
      <c r="I106" s="2" t="s">
        <v>409</v>
      </c>
      <c r="J106" s="1" t="s">
        <v>105</v>
      </c>
      <c r="K106" s="1">
        <v>8</v>
      </c>
      <c r="L106" s="1" t="s">
        <v>410</v>
      </c>
      <c r="M106" s="1" t="s">
        <v>411</v>
      </c>
      <c r="N106" s="1" t="s">
        <v>412</v>
      </c>
      <c r="O106" s="1" t="s">
        <v>413</v>
      </c>
      <c r="P106" s="1" t="s">
        <v>8</v>
      </c>
      <c r="Q106" s="1" t="s">
        <v>75</v>
      </c>
      <c r="R106" s="2" t="s">
        <v>432</v>
      </c>
      <c r="S106" s="2"/>
      <c r="AF106" s="12"/>
      <c r="AG106" s="12"/>
      <c r="AH106" s="12"/>
      <c r="AI106" s="12"/>
      <c r="AJ106" s="12"/>
      <c r="AK106" s="12"/>
      <c r="AL106" s="12"/>
      <c r="AM106" s="14">
        <v>21</v>
      </c>
      <c r="AN106" s="14">
        <v>19</v>
      </c>
      <c r="AO106" s="3">
        <f t="shared" si="15"/>
        <v>0.90476190476190477</v>
      </c>
      <c r="AP106" s="14"/>
      <c r="AQ106" s="14"/>
      <c r="AR106" s="3"/>
      <c r="AZ106" s="1">
        <f t="shared" si="1"/>
        <v>0</v>
      </c>
    </row>
    <row r="107" spans="1:52" ht="15.75" customHeight="1" x14ac:dyDescent="0.3">
      <c r="A107" s="1" t="s">
        <v>433</v>
      </c>
      <c r="B107" s="2" t="s">
        <v>434</v>
      </c>
      <c r="C107" s="2">
        <v>160000011</v>
      </c>
      <c r="D107" s="2" t="s">
        <v>407</v>
      </c>
      <c r="E107" s="1" t="s">
        <v>408</v>
      </c>
      <c r="F107" s="2" t="s">
        <v>67</v>
      </c>
      <c r="G107" s="2" t="s">
        <v>86</v>
      </c>
      <c r="H107" s="2" t="s">
        <v>87</v>
      </c>
      <c r="I107" s="2" t="s">
        <v>409</v>
      </c>
      <c r="J107" s="1" t="s">
        <v>105</v>
      </c>
      <c r="K107" s="1">
        <v>8</v>
      </c>
      <c r="L107" s="1" t="s">
        <v>410</v>
      </c>
      <c r="M107" s="1" t="s">
        <v>411</v>
      </c>
      <c r="N107" s="1" t="s">
        <v>412</v>
      </c>
      <c r="O107" s="1" t="s">
        <v>413</v>
      </c>
      <c r="P107" s="1" t="s">
        <v>8</v>
      </c>
      <c r="Q107" s="1" t="s">
        <v>80</v>
      </c>
      <c r="R107" s="2" t="s">
        <v>109</v>
      </c>
      <c r="S107" s="2"/>
      <c r="AF107" s="12"/>
      <c r="AG107" s="12"/>
      <c r="AH107" s="12"/>
      <c r="AI107" s="12"/>
      <c r="AJ107" s="12"/>
      <c r="AK107" s="12"/>
      <c r="AL107" s="12"/>
      <c r="AM107" s="14">
        <v>1</v>
      </c>
      <c r="AN107" s="14"/>
      <c r="AO107" s="3">
        <f t="shared" si="15"/>
        <v>0</v>
      </c>
      <c r="AP107" s="14"/>
      <c r="AQ107" s="14"/>
      <c r="AR107" s="3"/>
      <c r="AZ107" s="1">
        <f t="shared" si="1"/>
        <v>0</v>
      </c>
    </row>
    <row r="108" spans="1:52" ht="15.75" customHeight="1" x14ac:dyDescent="0.3">
      <c r="A108" s="1" t="s">
        <v>435</v>
      </c>
      <c r="B108" s="2" t="s">
        <v>436</v>
      </c>
      <c r="C108" s="2">
        <v>260000068</v>
      </c>
      <c r="D108" s="2" t="s">
        <v>437</v>
      </c>
      <c r="E108" s="1" t="s">
        <v>438</v>
      </c>
      <c r="F108" s="2" t="s">
        <v>67</v>
      </c>
      <c r="G108" s="2" t="s">
        <v>68</v>
      </c>
      <c r="H108" s="2" t="s">
        <v>439</v>
      </c>
      <c r="I108" s="1" t="s">
        <v>70</v>
      </c>
      <c r="J108" s="1" t="s">
        <v>440</v>
      </c>
      <c r="K108" s="1">
        <v>6</v>
      </c>
      <c r="L108" s="1" t="s">
        <v>441</v>
      </c>
      <c r="M108" s="1" t="s">
        <v>73</v>
      </c>
      <c r="N108" s="1" t="s">
        <v>74</v>
      </c>
      <c r="O108" s="1" t="s">
        <v>74</v>
      </c>
      <c r="P108" s="1" t="s">
        <v>8</v>
      </c>
      <c r="Q108" s="1" t="s">
        <v>80</v>
      </c>
      <c r="R108" s="2" t="s">
        <v>315</v>
      </c>
      <c r="S108" s="2"/>
      <c r="AF108" s="12"/>
      <c r="AG108" s="12"/>
      <c r="AH108" s="12"/>
      <c r="AI108" s="12"/>
      <c r="AJ108" s="12"/>
      <c r="AK108" s="12"/>
      <c r="AL108" s="12"/>
      <c r="AM108" s="14">
        <v>29</v>
      </c>
      <c r="AN108" s="14">
        <v>29</v>
      </c>
      <c r="AO108" s="3">
        <f t="shared" si="15"/>
        <v>1</v>
      </c>
      <c r="AP108" s="14"/>
      <c r="AQ108" s="14"/>
      <c r="AR108" s="3"/>
      <c r="AZ108" s="1">
        <f t="shared" si="1"/>
        <v>0</v>
      </c>
    </row>
    <row r="109" spans="1:52" ht="15.75" customHeight="1" x14ac:dyDescent="0.3">
      <c r="A109" s="1" t="s">
        <v>442</v>
      </c>
      <c r="B109" s="2" t="s">
        <v>443</v>
      </c>
      <c r="C109" s="2">
        <v>160000011</v>
      </c>
      <c r="D109" s="2" t="s">
        <v>407</v>
      </c>
      <c r="E109" s="1" t="s">
        <v>408</v>
      </c>
      <c r="F109" s="2" t="s">
        <v>67</v>
      </c>
      <c r="G109" s="2" t="s">
        <v>86</v>
      </c>
      <c r="H109" s="2" t="s">
        <v>87</v>
      </c>
      <c r="I109" s="2" t="s">
        <v>409</v>
      </c>
      <c r="J109" s="1" t="s">
        <v>105</v>
      </c>
      <c r="K109" s="1">
        <v>8</v>
      </c>
      <c r="L109" s="1" t="s">
        <v>410</v>
      </c>
      <c r="M109" s="1" t="s">
        <v>411</v>
      </c>
      <c r="N109" s="1" t="s">
        <v>412</v>
      </c>
      <c r="O109" s="1" t="s">
        <v>413</v>
      </c>
      <c r="P109" s="1" t="s">
        <v>8</v>
      </c>
      <c r="Q109" s="1" t="s">
        <v>80</v>
      </c>
      <c r="R109" s="2" t="s">
        <v>315</v>
      </c>
      <c r="S109" s="2"/>
      <c r="AF109" s="12"/>
      <c r="AG109" s="12"/>
      <c r="AH109" s="12"/>
      <c r="AI109" s="12"/>
      <c r="AJ109" s="12"/>
      <c r="AK109" s="12"/>
      <c r="AL109" s="12"/>
      <c r="AM109" s="14">
        <v>4</v>
      </c>
      <c r="AN109" s="14"/>
      <c r="AO109" s="3">
        <f t="shared" si="15"/>
        <v>0</v>
      </c>
      <c r="AP109" s="14"/>
      <c r="AQ109" s="14"/>
      <c r="AR109" s="3"/>
      <c r="AZ109" s="1">
        <f t="shared" si="1"/>
        <v>0</v>
      </c>
    </row>
    <row r="110" spans="1:52" ht="15.75" customHeight="1" x14ac:dyDescent="0.3">
      <c r="B110" s="1" t="s">
        <v>444</v>
      </c>
      <c r="C110" s="2">
        <v>260000014</v>
      </c>
      <c r="D110" s="1" t="s">
        <v>65</v>
      </c>
      <c r="E110" s="1" t="s">
        <v>66</v>
      </c>
      <c r="F110" s="1" t="s">
        <v>67</v>
      </c>
      <c r="G110" s="1" t="s">
        <v>68</v>
      </c>
      <c r="H110" s="1" t="s">
        <v>69</v>
      </c>
      <c r="I110" s="1" t="s">
        <v>70</v>
      </c>
      <c r="J110" s="1" t="s">
        <v>71</v>
      </c>
      <c r="K110" s="1">
        <v>10</v>
      </c>
      <c r="L110" s="1" t="s">
        <v>72</v>
      </c>
      <c r="M110" s="1" t="s">
        <v>73</v>
      </c>
      <c r="N110" s="1" t="s">
        <v>74</v>
      </c>
      <c r="O110" s="1" t="s">
        <v>74</v>
      </c>
      <c r="P110" s="1" t="s">
        <v>8</v>
      </c>
      <c r="Q110" s="1" t="s">
        <v>75</v>
      </c>
      <c r="R110" s="1" t="s">
        <v>445</v>
      </c>
      <c r="S110" s="2"/>
      <c r="AE110" s="1" t="s">
        <v>138</v>
      </c>
      <c r="AH110" s="2"/>
      <c r="AI110" s="2"/>
      <c r="AJ110" s="2"/>
      <c r="AM110" s="14">
        <v>9</v>
      </c>
      <c r="AN110" s="14">
        <v>8</v>
      </c>
      <c r="AO110" s="14">
        <v>0.88888888888888884</v>
      </c>
      <c r="AP110" s="14"/>
      <c r="AQ110" s="14"/>
      <c r="AZ110" s="1">
        <f t="shared" si="1"/>
        <v>0</v>
      </c>
    </row>
    <row r="111" spans="1:52" ht="15.75" customHeight="1" x14ac:dyDescent="0.3">
      <c r="A111" s="1" t="s">
        <v>446</v>
      </c>
      <c r="B111" s="2" t="s">
        <v>447</v>
      </c>
      <c r="C111" s="2">
        <v>160000006</v>
      </c>
      <c r="D111" s="2" t="s">
        <v>84</v>
      </c>
      <c r="E111" s="1" t="s">
        <v>85</v>
      </c>
      <c r="F111" s="2" t="s">
        <v>67</v>
      </c>
      <c r="G111" s="2" t="s">
        <v>86</v>
      </c>
      <c r="H111" s="2" t="s">
        <v>87</v>
      </c>
      <c r="I111" s="2" t="s">
        <v>409</v>
      </c>
      <c r="J111" s="1" t="s">
        <v>88</v>
      </c>
      <c r="K111" s="1">
        <v>10</v>
      </c>
      <c r="L111" s="1" t="s">
        <v>89</v>
      </c>
      <c r="M111" s="1" t="s">
        <v>73</v>
      </c>
      <c r="N111" s="1" t="s">
        <v>74</v>
      </c>
      <c r="O111" s="1" t="s">
        <v>74</v>
      </c>
      <c r="P111" s="1" t="s">
        <v>8</v>
      </c>
      <c r="Q111" s="1" t="s">
        <v>80</v>
      </c>
      <c r="R111" s="2" t="s">
        <v>448</v>
      </c>
      <c r="S111" s="2"/>
      <c r="AF111" s="12"/>
      <c r="AG111" s="12"/>
      <c r="AH111" s="12"/>
      <c r="AI111" s="12"/>
      <c r="AJ111" s="12"/>
      <c r="AK111" s="12"/>
      <c r="AL111" s="12"/>
      <c r="AM111" s="14">
        <v>14</v>
      </c>
      <c r="AN111" s="14">
        <v>14</v>
      </c>
      <c r="AO111" s="3">
        <f t="shared" ref="AO111:AO114" si="16">AN111/AM111</f>
        <v>1</v>
      </c>
      <c r="AP111" s="14"/>
      <c r="AQ111" s="14"/>
      <c r="AR111" s="3"/>
      <c r="AZ111" s="1">
        <f t="shared" si="1"/>
        <v>0</v>
      </c>
    </row>
    <row r="112" spans="1:52" ht="15.75" customHeight="1" x14ac:dyDescent="0.3">
      <c r="A112" s="1" t="s">
        <v>449</v>
      </c>
      <c r="B112" s="2" t="s">
        <v>450</v>
      </c>
      <c r="C112" s="2">
        <v>160000011</v>
      </c>
      <c r="D112" s="2" t="s">
        <v>407</v>
      </c>
      <c r="E112" s="1" t="s">
        <v>408</v>
      </c>
      <c r="F112" s="2" t="s">
        <v>67</v>
      </c>
      <c r="G112" s="2" t="s">
        <v>86</v>
      </c>
      <c r="H112" s="2" t="s">
        <v>87</v>
      </c>
      <c r="I112" s="2" t="s">
        <v>409</v>
      </c>
      <c r="J112" s="1" t="s">
        <v>105</v>
      </c>
      <c r="K112" s="1">
        <v>8</v>
      </c>
      <c r="L112" s="1" t="s">
        <v>410</v>
      </c>
      <c r="M112" s="1" t="s">
        <v>411</v>
      </c>
      <c r="N112" s="1" t="s">
        <v>412</v>
      </c>
      <c r="O112" s="1" t="s">
        <v>413</v>
      </c>
      <c r="P112" s="1" t="s">
        <v>8</v>
      </c>
      <c r="Q112" s="1" t="s">
        <v>141</v>
      </c>
      <c r="R112" s="2" t="s">
        <v>395</v>
      </c>
      <c r="S112" s="2"/>
      <c r="AF112" s="12"/>
      <c r="AG112" s="12"/>
      <c r="AH112" s="12"/>
      <c r="AI112" s="12"/>
      <c r="AJ112" s="12"/>
      <c r="AK112" s="12"/>
      <c r="AL112" s="12"/>
      <c r="AM112" s="14">
        <v>1</v>
      </c>
      <c r="AN112" s="14"/>
      <c r="AO112" s="3">
        <f t="shared" si="16"/>
        <v>0</v>
      </c>
      <c r="AP112" s="14"/>
      <c r="AQ112" s="14"/>
      <c r="AR112" s="3"/>
      <c r="AZ112" s="1">
        <f t="shared" si="1"/>
        <v>0</v>
      </c>
    </row>
    <row r="113" spans="1:52" ht="15.75" customHeight="1" x14ac:dyDescent="0.3">
      <c r="A113" s="1" t="s">
        <v>451</v>
      </c>
      <c r="B113" s="2" t="s">
        <v>452</v>
      </c>
      <c r="C113" s="2">
        <v>160000006</v>
      </c>
      <c r="D113" s="2" t="s">
        <v>84</v>
      </c>
      <c r="E113" s="1" t="s">
        <v>85</v>
      </c>
      <c r="F113" s="2" t="s">
        <v>67</v>
      </c>
      <c r="G113" s="2" t="s">
        <v>86</v>
      </c>
      <c r="H113" s="2" t="s">
        <v>87</v>
      </c>
      <c r="I113" s="2" t="s">
        <v>409</v>
      </c>
      <c r="J113" s="1" t="s">
        <v>88</v>
      </c>
      <c r="K113" s="1">
        <v>10</v>
      </c>
      <c r="L113" s="1" t="s">
        <v>89</v>
      </c>
      <c r="M113" s="1" t="s">
        <v>73</v>
      </c>
      <c r="N113" s="1" t="s">
        <v>74</v>
      </c>
      <c r="O113" s="1" t="s">
        <v>74</v>
      </c>
      <c r="P113" s="1" t="s">
        <v>8</v>
      </c>
      <c r="Q113" s="1" t="s">
        <v>141</v>
      </c>
      <c r="R113" s="2" t="s">
        <v>367</v>
      </c>
      <c r="S113" s="2"/>
      <c r="AF113" s="12"/>
      <c r="AG113" s="12"/>
      <c r="AH113" s="12"/>
      <c r="AI113" s="12"/>
      <c r="AJ113" s="12"/>
      <c r="AK113" s="12"/>
      <c r="AL113" s="12"/>
      <c r="AM113" s="14">
        <v>3</v>
      </c>
      <c r="AN113" s="14">
        <v>3</v>
      </c>
      <c r="AO113" s="3">
        <f t="shared" si="16"/>
        <v>1</v>
      </c>
      <c r="AP113" s="14"/>
      <c r="AQ113" s="14"/>
      <c r="AR113" s="3"/>
      <c r="AZ113" s="1">
        <f t="shared" si="1"/>
        <v>0</v>
      </c>
    </row>
    <row r="114" spans="1:52" ht="15.75" customHeight="1" x14ac:dyDescent="0.3">
      <c r="A114" s="1" t="s">
        <v>453</v>
      </c>
      <c r="B114" s="2" t="s">
        <v>454</v>
      </c>
      <c r="C114" s="2">
        <v>260000019</v>
      </c>
      <c r="D114" s="2" t="s">
        <v>96</v>
      </c>
      <c r="E114" s="1" t="s">
        <v>97</v>
      </c>
      <c r="F114" s="2" t="s">
        <v>67</v>
      </c>
      <c r="G114" s="2" t="s">
        <v>68</v>
      </c>
      <c r="H114" s="2" t="s">
        <v>69</v>
      </c>
      <c r="I114" s="2" t="s">
        <v>409</v>
      </c>
      <c r="J114" s="1" t="s">
        <v>98</v>
      </c>
      <c r="K114" s="1">
        <v>6</v>
      </c>
      <c r="L114" s="1" t="s">
        <v>99</v>
      </c>
      <c r="M114" s="1" t="s">
        <v>73</v>
      </c>
      <c r="N114" s="1" t="s">
        <v>74</v>
      </c>
      <c r="O114" s="1" t="s">
        <v>74</v>
      </c>
      <c r="P114" s="1" t="s">
        <v>8</v>
      </c>
      <c r="Q114" s="1" t="s">
        <v>80</v>
      </c>
      <c r="R114" s="2" t="s">
        <v>455</v>
      </c>
      <c r="S114" s="2"/>
      <c r="AF114" s="12"/>
      <c r="AG114" s="12"/>
      <c r="AH114" s="12"/>
      <c r="AI114" s="12"/>
      <c r="AJ114" s="12"/>
      <c r="AK114" s="12"/>
      <c r="AL114" s="12"/>
      <c r="AM114" s="14">
        <v>16</v>
      </c>
      <c r="AN114" s="14">
        <v>15</v>
      </c>
      <c r="AO114" s="3">
        <f t="shared" si="16"/>
        <v>0.9375</v>
      </c>
      <c r="AP114" s="14"/>
      <c r="AQ114" s="14"/>
      <c r="AR114" s="3"/>
      <c r="AZ114" s="1">
        <f t="shared" si="1"/>
        <v>0</v>
      </c>
    </row>
    <row r="115" spans="1:52" ht="15.75" customHeight="1" x14ac:dyDescent="0.3">
      <c r="A115" s="1" t="s">
        <v>456</v>
      </c>
      <c r="B115" s="2" t="s">
        <v>457</v>
      </c>
      <c r="C115" s="2">
        <v>160000042</v>
      </c>
      <c r="D115" s="1" t="s">
        <v>458</v>
      </c>
      <c r="E115" s="1" t="s">
        <v>459</v>
      </c>
      <c r="F115" s="1" t="s">
        <v>67</v>
      </c>
      <c r="G115" s="1" t="s">
        <v>86</v>
      </c>
      <c r="H115" s="1" t="s">
        <v>87</v>
      </c>
      <c r="I115" s="1" t="s">
        <v>70</v>
      </c>
      <c r="J115" s="1" t="s">
        <v>460</v>
      </c>
      <c r="K115" s="1">
        <v>6</v>
      </c>
      <c r="L115" s="1" t="s">
        <v>461</v>
      </c>
      <c r="M115" s="1" t="s">
        <v>462</v>
      </c>
      <c r="N115" s="1" t="s">
        <v>463</v>
      </c>
      <c r="O115" s="1" t="s">
        <v>150</v>
      </c>
      <c r="P115" s="1" t="s">
        <v>9</v>
      </c>
      <c r="Q115" s="1" t="s">
        <v>141</v>
      </c>
      <c r="R115" s="1" t="s">
        <v>464</v>
      </c>
      <c r="S115" s="2"/>
      <c r="T115" s="1">
        <v>1</v>
      </c>
      <c r="U115" s="1">
        <v>3</v>
      </c>
      <c r="AE115" s="1" t="s">
        <v>110</v>
      </c>
      <c r="AF115" s="12">
        <v>2</v>
      </c>
      <c r="AG115" s="12">
        <v>0</v>
      </c>
      <c r="AH115" s="12">
        <v>2</v>
      </c>
      <c r="AI115" s="12">
        <v>33</v>
      </c>
      <c r="AJ115" s="12">
        <v>33</v>
      </c>
      <c r="AK115" s="12">
        <v>33</v>
      </c>
      <c r="AL115" s="12">
        <v>0</v>
      </c>
      <c r="AM115" s="14"/>
      <c r="AN115" s="14"/>
      <c r="AO115" s="3"/>
      <c r="AP115" s="14">
        <v>0</v>
      </c>
      <c r="AQ115" s="14">
        <v>2</v>
      </c>
      <c r="AR115" s="3">
        <f t="shared" ref="AR115:AR204" si="17">AP115/AQ115</f>
        <v>0</v>
      </c>
      <c r="AZ115" s="1">
        <f t="shared" si="1"/>
        <v>0</v>
      </c>
    </row>
    <row r="116" spans="1:52" ht="15.75" customHeight="1" x14ac:dyDescent="0.3">
      <c r="A116" s="1" t="s">
        <v>465</v>
      </c>
      <c r="B116" s="2" t="s">
        <v>466</v>
      </c>
      <c r="C116" s="2">
        <v>160000042</v>
      </c>
      <c r="D116" s="1" t="s">
        <v>458</v>
      </c>
      <c r="E116" s="1" t="s">
        <v>459</v>
      </c>
      <c r="F116" s="1" t="s">
        <v>67</v>
      </c>
      <c r="G116" s="1" t="s">
        <v>86</v>
      </c>
      <c r="H116" s="1" t="s">
        <v>87</v>
      </c>
      <c r="I116" s="1" t="s">
        <v>70</v>
      </c>
      <c r="J116" s="1" t="s">
        <v>460</v>
      </c>
      <c r="K116" s="1">
        <v>6</v>
      </c>
      <c r="L116" s="1" t="s">
        <v>461</v>
      </c>
      <c r="M116" s="1" t="s">
        <v>462</v>
      </c>
      <c r="N116" s="1" t="s">
        <v>463</v>
      </c>
      <c r="O116" s="1" t="s">
        <v>150</v>
      </c>
      <c r="P116" s="1" t="s">
        <v>9</v>
      </c>
      <c r="Q116" s="1" t="s">
        <v>80</v>
      </c>
      <c r="R116" s="1" t="s">
        <v>225</v>
      </c>
      <c r="S116" s="2"/>
      <c r="T116" s="1">
        <v>2</v>
      </c>
      <c r="U116" s="1">
        <v>2</v>
      </c>
      <c r="AE116" s="1" t="s">
        <v>110</v>
      </c>
      <c r="AF116" s="12">
        <v>4</v>
      </c>
      <c r="AG116" s="12">
        <v>2</v>
      </c>
      <c r="AH116" s="12">
        <v>2</v>
      </c>
      <c r="AI116" s="12">
        <v>35.5</v>
      </c>
      <c r="AJ116" s="12">
        <v>43</v>
      </c>
      <c r="AK116" s="12">
        <v>28</v>
      </c>
      <c r="AL116" s="12">
        <v>8.6602540378443873</v>
      </c>
      <c r="AM116" s="14"/>
      <c r="AN116" s="14"/>
      <c r="AO116" s="3"/>
      <c r="AP116" s="14">
        <v>0</v>
      </c>
      <c r="AQ116" s="14">
        <v>4</v>
      </c>
      <c r="AR116" s="3">
        <f t="shared" si="17"/>
        <v>0</v>
      </c>
      <c r="AZ116" s="1">
        <f t="shared" si="1"/>
        <v>0</v>
      </c>
    </row>
    <row r="117" spans="1:52" ht="15.75" customHeight="1" x14ac:dyDescent="0.3">
      <c r="A117" s="1" t="s">
        <v>467</v>
      </c>
      <c r="B117" s="2" t="s">
        <v>468</v>
      </c>
      <c r="C117" s="2">
        <v>160000042</v>
      </c>
      <c r="D117" s="1" t="s">
        <v>458</v>
      </c>
      <c r="E117" s="1" t="s">
        <v>459</v>
      </c>
      <c r="F117" s="1" t="s">
        <v>67</v>
      </c>
      <c r="G117" s="1" t="s">
        <v>86</v>
      </c>
      <c r="H117" s="1" t="s">
        <v>87</v>
      </c>
      <c r="I117" s="1" t="s">
        <v>70</v>
      </c>
      <c r="J117" s="1" t="s">
        <v>460</v>
      </c>
      <c r="K117" s="1">
        <v>6</v>
      </c>
      <c r="L117" s="1" t="s">
        <v>461</v>
      </c>
      <c r="M117" s="1" t="s">
        <v>462</v>
      </c>
      <c r="N117" s="1" t="s">
        <v>463</v>
      </c>
      <c r="O117" s="1" t="s">
        <v>150</v>
      </c>
      <c r="P117" s="1" t="s">
        <v>9</v>
      </c>
      <c r="Q117" s="1" t="s">
        <v>90</v>
      </c>
      <c r="R117" s="1" t="s">
        <v>469</v>
      </c>
      <c r="S117" s="2"/>
      <c r="T117" s="1">
        <v>1</v>
      </c>
      <c r="U117" s="1">
        <v>1</v>
      </c>
      <c r="AE117" s="1" t="s">
        <v>110</v>
      </c>
      <c r="AF117" s="12">
        <v>2</v>
      </c>
      <c r="AG117" s="12">
        <v>0</v>
      </c>
      <c r="AH117" s="12">
        <v>2</v>
      </c>
      <c r="AI117" s="12">
        <v>36</v>
      </c>
      <c r="AJ117" s="12">
        <v>36</v>
      </c>
      <c r="AK117" s="12">
        <v>36</v>
      </c>
      <c r="AL117" s="12">
        <v>0</v>
      </c>
      <c r="AM117" s="14"/>
      <c r="AN117" s="14"/>
      <c r="AO117" s="3"/>
      <c r="AP117" s="14">
        <v>0</v>
      </c>
      <c r="AQ117" s="14">
        <v>2</v>
      </c>
      <c r="AR117" s="3">
        <f t="shared" si="17"/>
        <v>0</v>
      </c>
      <c r="AZ117" s="1">
        <f t="shared" si="1"/>
        <v>0</v>
      </c>
    </row>
    <row r="118" spans="1:52" ht="15.75" customHeight="1" x14ac:dyDescent="0.3">
      <c r="A118" s="1" t="s">
        <v>470</v>
      </c>
      <c r="B118" s="2" t="s">
        <v>471</v>
      </c>
      <c r="C118" s="2">
        <v>260000047</v>
      </c>
      <c r="D118" s="1" t="s">
        <v>472</v>
      </c>
      <c r="E118" s="1" t="s">
        <v>473</v>
      </c>
      <c r="F118" s="1" t="s">
        <v>67</v>
      </c>
      <c r="G118" s="1" t="s">
        <v>68</v>
      </c>
      <c r="H118" s="1" t="s">
        <v>69</v>
      </c>
      <c r="I118" s="1" t="s">
        <v>70</v>
      </c>
      <c r="J118" s="1" t="s">
        <v>460</v>
      </c>
      <c r="K118" s="1">
        <v>6</v>
      </c>
      <c r="L118" s="1" t="s">
        <v>474</v>
      </c>
      <c r="M118" s="1" t="s">
        <v>475</v>
      </c>
      <c r="N118" s="1" t="s">
        <v>476</v>
      </c>
      <c r="O118" s="1" t="s">
        <v>108</v>
      </c>
      <c r="P118" s="1" t="s">
        <v>9</v>
      </c>
      <c r="Q118" s="1" t="s">
        <v>75</v>
      </c>
      <c r="R118" s="1" t="s">
        <v>477</v>
      </c>
      <c r="S118" s="2"/>
      <c r="T118" s="1">
        <v>12</v>
      </c>
      <c r="U118" s="1">
        <v>37</v>
      </c>
      <c r="V118" s="1">
        <v>40</v>
      </c>
      <c r="W118" s="1">
        <v>41</v>
      </c>
      <c r="X118" s="1">
        <v>49</v>
      </c>
      <c r="Y118" s="1">
        <v>36</v>
      </c>
      <c r="Z118" s="1">
        <v>34</v>
      </c>
      <c r="AB118" s="1">
        <v>4</v>
      </c>
      <c r="AC118" s="1">
        <v>3</v>
      </c>
      <c r="AE118" s="1" t="s">
        <v>77</v>
      </c>
      <c r="AF118" s="12">
        <v>4</v>
      </c>
      <c r="AG118" s="12">
        <v>2</v>
      </c>
      <c r="AH118" s="12">
        <v>2</v>
      </c>
      <c r="AI118" s="13">
        <v>36.25</v>
      </c>
      <c r="AJ118" s="13">
        <v>48</v>
      </c>
      <c r="AK118" s="13">
        <v>30</v>
      </c>
      <c r="AL118" s="13">
        <v>8.0983537421708949</v>
      </c>
      <c r="AM118" s="14"/>
      <c r="AN118" s="14"/>
      <c r="AO118" s="3"/>
      <c r="AP118" s="14">
        <v>0</v>
      </c>
      <c r="AQ118" s="14">
        <v>4</v>
      </c>
      <c r="AR118" s="3">
        <f t="shared" si="17"/>
        <v>0</v>
      </c>
      <c r="AZ118" s="1">
        <f t="shared" si="1"/>
        <v>0</v>
      </c>
    </row>
    <row r="119" spans="1:52" ht="15.75" customHeight="1" x14ac:dyDescent="0.3">
      <c r="A119" s="1" t="s">
        <v>478</v>
      </c>
      <c r="B119" s="2" t="s">
        <v>479</v>
      </c>
      <c r="C119" s="2">
        <v>160000032</v>
      </c>
      <c r="D119" s="1" t="s">
        <v>480</v>
      </c>
      <c r="E119" s="1" t="s">
        <v>481</v>
      </c>
      <c r="F119" s="1" t="s">
        <v>67</v>
      </c>
      <c r="G119" s="1" t="s">
        <v>86</v>
      </c>
      <c r="H119" s="1" t="s">
        <v>87</v>
      </c>
      <c r="I119" s="1" t="s">
        <v>70</v>
      </c>
      <c r="J119" s="1" t="s">
        <v>440</v>
      </c>
      <c r="K119" s="1">
        <v>6</v>
      </c>
      <c r="L119" s="1" t="s">
        <v>482</v>
      </c>
      <c r="M119" s="1" t="s">
        <v>483</v>
      </c>
      <c r="N119" s="1" t="s">
        <v>482</v>
      </c>
      <c r="O119" s="1" t="s">
        <v>150</v>
      </c>
      <c r="P119" s="1" t="s">
        <v>9</v>
      </c>
      <c r="Q119" s="1" t="s">
        <v>80</v>
      </c>
      <c r="R119" s="1" t="s">
        <v>484</v>
      </c>
      <c r="S119" s="2"/>
      <c r="T119" s="1">
        <v>29</v>
      </c>
      <c r="U119" s="1">
        <v>28</v>
      </c>
      <c r="AE119" s="1" t="s">
        <v>110</v>
      </c>
      <c r="AF119" s="12">
        <v>58</v>
      </c>
      <c r="AG119" s="12">
        <v>36</v>
      </c>
      <c r="AH119" s="12">
        <v>22</v>
      </c>
      <c r="AI119" s="12">
        <v>37.103448275862071</v>
      </c>
      <c r="AJ119" s="12">
        <v>53</v>
      </c>
      <c r="AK119" s="12">
        <v>26</v>
      </c>
      <c r="AL119" s="12">
        <v>7.7203073640576809</v>
      </c>
      <c r="AM119" s="14"/>
      <c r="AN119" s="14"/>
      <c r="AO119" s="3"/>
      <c r="AP119" s="14">
        <v>0</v>
      </c>
      <c r="AQ119" s="14">
        <v>58</v>
      </c>
      <c r="AR119" s="3">
        <f t="shared" si="17"/>
        <v>0</v>
      </c>
      <c r="AZ119" s="1">
        <f t="shared" si="1"/>
        <v>0</v>
      </c>
    </row>
    <row r="120" spans="1:52" ht="15.75" customHeight="1" x14ac:dyDescent="0.3">
      <c r="A120" s="1" t="s">
        <v>485</v>
      </c>
      <c r="B120" s="2" t="s">
        <v>486</v>
      </c>
      <c r="C120" s="2">
        <v>160000010</v>
      </c>
      <c r="D120" s="1" t="s">
        <v>487</v>
      </c>
      <c r="E120" s="1" t="s">
        <v>488</v>
      </c>
      <c r="F120" s="1" t="s">
        <v>67</v>
      </c>
      <c r="G120" s="1" t="s">
        <v>86</v>
      </c>
      <c r="H120" s="1" t="s">
        <v>87</v>
      </c>
      <c r="I120" s="1" t="s">
        <v>70</v>
      </c>
      <c r="J120" s="1" t="s">
        <v>460</v>
      </c>
      <c r="K120" s="1">
        <v>6</v>
      </c>
      <c r="L120" s="1" t="s">
        <v>489</v>
      </c>
      <c r="M120" s="1" t="s">
        <v>490</v>
      </c>
      <c r="N120" s="1" t="s">
        <v>491</v>
      </c>
      <c r="O120" s="1" t="s">
        <v>108</v>
      </c>
      <c r="P120" s="1" t="s">
        <v>9</v>
      </c>
      <c r="Q120" s="1" t="s">
        <v>80</v>
      </c>
      <c r="R120" s="1" t="s">
        <v>492</v>
      </c>
      <c r="S120" s="2"/>
      <c r="T120" s="1">
        <v>48</v>
      </c>
      <c r="U120" s="1">
        <v>56</v>
      </c>
      <c r="AE120" s="1" t="s">
        <v>110</v>
      </c>
      <c r="AF120" s="12">
        <v>96</v>
      </c>
      <c r="AG120" s="12">
        <v>48</v>
      </c>
      <c r="AH120" s="12">
        <v>48</v>
      </c>
      <c r="AI120" s="12">
        <v>38</v>
      </c>
      <c r="AJ120" s="12">
        <v>61</v>
      </c>
      <c r="AK120" s="12">
        <v>25</v>
      </c>
      <c r="AL120" s="12">
        <v>7.6832010872661938</v>
      </c>
      <c r="AM120" s="14">
        <v>12</v>
      </c>
      <c r="AN120" s="14">
        <v>12</v>
      </c>
      <c r="AO120" s="3">
        <f>AN120/AM120</f>
        <v>1</v>
      </c>
      <c r="AP120" s="14">
        <v>0</v>
      </c>
      <c r="AQ120" s="14">
        <v>96</v>
      </c>
      <c r="AR120" s="3">
        <f t="shared" si="17"/>
        <v>0</v>
      </c>
      <c r="AS120" s="1">
        <v>0</v>
      </c>
      <c r="AT120" s="1">
        <v>16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f t="shared" si="1"/>
        <v>16</v>
      </c>
    </row>
    <row r="121" spans="1:52" ht="15.75" customHeight="1" x14ac:dyDescent="0.3">
      <c r="A121" s="1" t="s">
        <v>493</v>
      </c>
      <c r="B121" s="2" t="s">
        <v>494</v>
      </c>
      <c r="C121" s="2">
        <v>160000042</v>
      </c>
      <c r="D121" s="1" t="s">
        <v>458</v>
      </c>
      <c r="E121" s="1" t="s">
        <v>459</v>
      </c>
      <c r="F121" s="1" t="s">
        <v>67</v>
      </c>
      <c r="G121" s="1" t="s">
        <v>86</v>
      </c>
      <c r="H121" s="1" t="s">
        <v>87</v>
      </c>
      <c r="I121" s="1" t="s">
        <v>70</v>
      </c>
      <c r="J121" s="1" t="s">
        <v>460</v>
      </c>
      <c r="K121" s="1">
        <v>6</v>
      </c>
      <c r="L121" s="1" t="s">
        <v>461</v>
      </c>
      <c r="M121" s="1" t="s">
        <v>462</v>
      </c>
      <c r="N121" s="1" t="s">
        <v>463</v>
      </c>
      <c r="O121" s="1" t="s">
        <v>150</v>
      </c>
      <c r="P121" s="1" t="s">
        <v>9</v>
      </c>
      <c r="Q121" s="1" t="s">
        <v>141</v>
      </c>
      <c r="R121" s="1" t="s">
        <v>495</v>
      </c>
      <c r="S121" s="2"/>
      <c r="U121" s="1">
        <v>1</v>
      </c>
      <c r="AE121" s="1" t="s">
        <v>175</v>
      </c>
      <c r="AF121" s="12">
        <v>2</v>
      </c>
      <c r="AG121" s="12">
        <v>0</v>
      </c>
      <c r="AH121" s="12">
        <v>2</v>
      </c>
      <c r="AI121" s="12">
        <v>38</v>
      </c>
      <c r="AJ121" s="12">
        <v>38</v>
      </c>
      <c r="AK121" s="12">
        <v>38</v>
      </c>
      <c r="AL121" s="12">
        <v>0</v>
      </c>
      <c r="AM121" s="14"/>
      <c r="AN121" s="14"/>
      <c r="AO121" s="3"/>
      <c r="AP121" s="14">
        <v>0</v>
      </c>
      <c r="AQ121" s="14">
        <v>2</v>
      </c>
      <c r="AR121" s="3">
        <f t="shared" si="17"/>
        <v>0</v>
      </c>
      <c r="AZ121" s="1">
        <f t="shared" si="1"/>
        <v>0</v>
      </c>
    </row>
    <row r="122" spans="1:52" ht="15.75" customHeight="1" x14ac:dyDescent="0.3">
      <c r="A122" s="1" t="s">
        <v>496</v>
      </c>
      <c r="B122" s="2" t="s">
        <v>497</v>
      </c>
      <c r="C122" s="2">
        <v>260000043</v>
      </c>
      <c r="D122" s="1" t="s">
        <v>498</v>
      </c>
      <c r="E122" s="1" t="s">
        <v>499</v>
      </c>
      <c r="F122" s="1" t="s">
        <v>67</v>
      </c>
      <c r="G122" s="1" t="s">
        <v>68</v>
      </c>
      <c r="H122" s="1" t="s">
        <v>69</v>
      </c>
      <c r="I122" s="1" t="s">
        <v>70</v>
      </c>
      <c r="J122" s="1" t="s">
        <v>98</v>
      </c>
      <c r="K122" s="1">
        <v>6</v>
      </c>
      <c r="L122" s="1" t="s">
        <v>500</v>
      </c>
      <c r="M122" s="1" t="s">
        <v>483</v>
      </c>
      <c r="N122" s="1" t="s">
        <v>482</v>
      </c>
      <c r="O122" s="1" t="s">
        <v>150</v>
      </c>
      <c r="P122" s="1" t="s">
        <v>9</v>
      </c>
      <c r="Q122" s="1" t="s">
        <v>80</v>
      </c>
      <c r="R122" s="1" t="s">
        <v>501</v>
      </c>
      <c r="S122" s="2"/>
      <c r="T122" s="1">
        <v>15</v>
      </c>
      <c r="U122" s="1">
        <v>24</v>
      </c>
      <c r="V122" s="1">
        <v>23</v>
      </c>
      <c r="AE122" s="1" t="s">
        <v>110</v>
      </c>
      <c r="AF122" s="12">
        <v>30</v>
      </c>
      <c r="AG122" s="12">
        <v>16</v>
      </c>
      <c r="AH122" s="12">
        <v>14</v>
      </c>
      <c r="AI122" s="12">
        <v>38.333333333333336</v>
      </c>
      <c r="AJ122" s="12">
        <v>57</v>
      </c>
      <c r="AK122" s="12">
        <v>26</v>
      </c>
      <c r="AL122" s="12">
        <v>9.5460168018712981</v>
      </c>
      <c r="AM122" s="14"/>
      <c r="AN122" s="14"/>
      <c r="AO122" s="3"/>
      <c r="AP122" s="14">
        <v>0</v>
      </c>
      <c r="AQ122" s="14">
        <v>30</v>
      </c>
      <c r="AR122" s="3">
        <f t="shared" si="17"/>
        <v>0</v>
      </c>
      <c r="AS122" s="1">
        <v>0</v>
      </c>
      <c r="AT122" s="1">
        <v>0</v>
      </c>
      <c r="AU122" s="1">
        <v>9</v>
      </c>
      <c r="AV122" s="1">
        <v>0</v>
      </c>
      <c r="AW122" s="1">
        <v>0</v>
      </c>
      <c r="AX122" s="1">
        <v>0</v>
      </c>
      <c r="AY122" s="1">
        <v>0</v>
      </c>
      <c r="AZ122" s="1">
        <f t="shared" si="1"/>
        <v>9</v>
      </c>
    </row>
    <row r="123" spans="1:52" ht="15.75" customHeight="1" x14ac:dyDescent="0.3">
      <c r="A123" s="1" t="s">
        <v>502</v>
      </c>
      <c r="B123" s="2" t="s">
        <v>503</v>
      </c>
      <c r="C123" s="2">
        <v>160000023</v>
      </c>
      <c r="D123" s="1" t="s">
        <v>504</v>
      </c>
      <c r="E123" s="1" t="s">
        <v>505</v>
      </c>
      <c r="F123" s="1" t="s">
        <v>67</v>
      </c>
      <c r="G123" s="1" t="s">
        <v>86</v>
      </c>
      <c r="H123" s="1" t="s">
        <v>87</v>
      </c>
      <c r="I123" s="1" t="s">
        <v>70</v>
      </c>
      <c r="J123" s="1" t="s">
        <v>460</v>
      </c>
      <c r="K123" s="1">
        <v>6</v>
      </c>
      <c r="L123" s="1" t="s">
        <v>506</v>
      </c>
      <c r="M123" s="1" t="s">
        <v>475</v>
      </c>
      <c r="N123" s="1" t="s">
        <v>476</v>
      </c>
      <c r="O123" s="1" t="s">
        <v>108</v>
      </c>
      <c r="P123" s="1" t="s">
        <v>9</v>
      </c>
      <c r="Q123" s="1" t="s">
        <v>80</v>
      </c>
      <c r="R123" s="1" t="s">
        <v>228</v>
      </c>
      <c r="S123" s="2"/>
      <c r="U123" s="1">
        <v>39</v>
      </c>
      <c r="V123" s="1">
        <v>46</v>
      </c>
      <c r="W123" s="1">
        <v>45</v>
      </c>
      <c r="Z123" s="1">
        <v>38</v>
      </c>
      <c r="AB123" s="1">
        <v>2</v>
      </c>
      <c r="AE123" s="1" t="s">
        <v>77</v>
      </c>
      <c r="AF123" s="12">
        <v>2</v>
      </c>
      <c r="AG123" s="12">
        <v>0</v>
      </c>
      <c r="AH123" s="12">
        <v>2</v>
      </c>
      <c r="AI123" s="13">
        <v>39</v>
      </c>
      <c r="AJ123" s="13">
        <v>50</v>
      </c>
      <c r="AK123" s="13">
        <v>28</v>
      </c>
      <c r="AL123" s="13">
        <v>15.556349186104045</v>
      </c>
      <c r="AM123" s="14">
        <v>34</v>
      </c>
      <c r="AN123" s="14">
        <v>34</v>
      </c>
      <c r="AO123" s="3">
        <f>AN123/AM123</f>
        <v>1</v>
      </c>
      <c r="AP123" s="14">
        <v>0</v>
      </c>
      <c r="AQ123" s="14">
        <v>2</v>
      </c>
      <c r="AR123" s="3">
        <f t="shared" si="17"/>
        <v>0</v>
      </c>
      <c r="AZ123" s="1">
        <f t="shared" si="1"/>
        <v>0</v>
      </c>
    </row>
    <row r="124" spans="1:52" ht="15.75" customHeight="1" x14ac:dyDescent="0.3">
      <c r="A124" s="1" t="s">
        <v>507</v>
      </c>
      <c r="B124" s="2" t="s">
        <v>508</v>
      </c>
      <c r="C124" s="2">
        <v>260000037</v>
      </c>
      <c r="D124" s="1" t="s">
        <v>509</v>
      </c>
      <c r="E124" s="1" t="s">
        <v>510</v>
      </c>
      <c r="F124" s="1" t="s">
        <v>67</v>
      </c>
      <c r="G124" s="1" t="s">
        <v>68</v>
      </c>
      <c r="H124" s="1" t="s">
        <v>69</v>
      </c>
      <c r="I124" s="1" t="s">
        <v>70</v>
      </c>
      <c r="J124" s="1" t="s">
        <v>511</v>
      </c>
      <c r="K124" s="1">
        <v>6</v>
      </c>
      <c r="L124" s="1" t="s">
        <v>512</v>
      </c>
      <c r="M124" s="1" t="s">
        <v>490</v>
      </c>
      <c r="N124" s="1" t="s">
        <v>491</v>
      </c>
      <c r="O124" s="1" t="s">
        <v>108</v>
      </c>
      <c r="P124" s="1" t="s">
        <v>9</v>
      </c>
      <c r="Q124" s="1" t="s">
        <v>80</v>
      </c>
      <c r="R124" s="1" t="s">
        <v>109</v>
      </c>
      <c r="S124" s="2"/>
      <c r="T124" s="1">
        <v>28</v>
      </c>
      <c r="U124" s="1">
        <v>26</v>
      </c>
      <c r="V124" s="1">
        <v>25</v>
      </c>
      <c r="W124" s="1">
        <v>23</v>
      </c>
      <c r="AE124" s="1" t="s">
        <v>513</v>
      </c>
      <c r="AF124" s="12">
        <v>46</v>
      </c>
      <c r="AG124" s="12">
        <v>20</v>
      </c>
      <c r="AH124" s="12">
        <v>26</v>
      </c>
      <c r="AI124" s="12">
        <v>39.391304347826086</v>
      </c>
      <c r="AJ124" s="12">
        <v>55</v>
      </c>
      <c r="AK124" s="12">
        <v>29</v>
      </c>
      <c r="AL124" s="12">
        <v>6.1082030849945008</v>
      </c>
      <c r="AM124" s="14"/>
      <c r="AN124" s="14"/>
      <c r="AO124" s="3"/>
      <c r="AP124" s="14">
        <v>0</v>
      </c>
      <c r="AQ124" s="14">
        <v>46</v>
      </c>
      <c r="AR124" s="3">
        <f t="shared" si="17"/>
        <v>0</v>
      </c>
      <c r="AZ124" s="1">
        <f t="shared" si="1"/>
        <v>0</v>
      </c>
    </row>
    <row r="125" spans="1:52" ht="15.75" customHeight="1" x14ac:dyDescent="0.3">
      <c r="A125" s="1" t="s">
        <v>514</v>
      </c>
      <c r="B125" s="2" t="s">
        <v>515</v>
      </c>
      <c r="C125" s="2">
        <v>160000023</v>
      </c>
      <c r="D125" s="1" t="s">
        <v>504</v>
      </c>
      <c r="E125" s="1" t="s">
        <v>505</v>
      </c>
      <c r="F125" s="1" t="s">
        <v>67</v>
      </c>
      <c r="G125" s="1" t="s">
        <v>86</v>
      </c>
      <c r="H125" s="1" t="s">
        <v>87</v>
      </c>
      <c r="I125" s="1" t="s">
        <v>70</v>
      </c>
      <c r="J125" s="1" t="s">
        <v>460</v>
      </c>
      <c r="K125" s="1">
        <v>6</v>
      </c>
      <c r="L125" s="1" t="s">
        <v>506</v>
      </c>
      <c r="M125" s="1" t="s">
        <v>475</v>
      </c>
      <c r="N125" s="1" t="s">
        <v>476</v>
      </c>
      <c r="O125" s="1" t="s">
        <v>108</v>
      </c>
      <c r="P125" s="1" t="s">
        <v>9</v>
      </c>
      <c r="Q125" s="1" t="s">
        <v>90</v>
      </c>
      <c r="R125" s="1" t="s">
        <v>516</v>
      </c>
      <c r="S125" s="2"/>
      <c r="T125" s="1">
        <v>97</v>
      </c>
      <c r="U125" s="1">
        <v>57</v>
      </c>
      <c r="V125" s="1">
        <v>112</v>
      </c>
      <c r="W125" s="1">
        <v>119</v>
      </c>
      <c r="Z125" s="1">
        <v>131</v>
      </c>
      <c r="AA125" s="1">
        <v>2</v>
      </c>
      <c r="AB125" s="1">
        <v>96</v>
      </c>
      <c r="AE125" s="1" t="s">
        <v>77</v>
      </c>
      <c r="AF125" s="12">
        <v>96</v>
      </c>
      <c r="AG125" s="12">
        <v>34</v>
      </c>
      <c r="AH125" s="12">
        <v>62</v>
      </c>
      <c r="AI125" s="13">
        <v>39.397849462365592</v>
      </c>
      <c r="AJ125" s="13">
        <v>70</v>
      </c>
      <c r="AK125" s="13">
        <v>25</v>
      </c>
      <c r="AL125" s="13">
        <v>10.845896624336218</v>
      </c>
      <c r="AM125" s="14">
        <v>84</v>
      </c>
      <c r="AN125" s="14">
        <v>84</v>
      </c>
      <c r="AO125" s="3">
        <f>AN125/AM125</f>
        <v>1</v>
      </c>
      <c r="AP125" s="14">
        <v>0</v>
      </c>
      <c r="AQ125" s="14">
        <v>96</v>
      </c>
      <c r="AR125" s="3">
        <f t="shared" si="17"/>
        <v>0</v>
      </c>
      <c r="AZ125" s="1">
        <f t="shared" si="1"/>
        <v>0</v>
      </c>
    </row>
    <row r="126" spans="1:52" ht="15.75" customHeight="1" x14ac:dyDescent="0.3">
      <c r="A126" s="1" t="s">
        <v>517</v>
      </c>
      <c r="B126" s="2" t="s">
        <v>518</v>
      </c>
      <c r="C126" s="2">
        <v>160000023</v>
      </c>
      <c r="D126" s="1" t="s">
        <v>504</v>
      </c>
      <c r="E126" s="1" t="s">
        <v>505</v>
      </c>
      <c r="F126" s="1" t="s">
        <v>67</v>
      </c>
      <c r="G126" s="1" t="s">
        <v>86</v>
      </c>
      <c r="H126" s="1" t="s">
        <v>87</v>
      </c>
      <c r="I126" s="1" t="s">
        <v>70</v>
      </c>
      <c r="J126" s="1" t="s">
        <v>460</v>
      </c>
      <c r="K126" s="1">
        <v>6</v>
      </c>
      <c r="L126" s="1" t="s">
        <v>506</v>
      </c>
      <c r="M126" s="1" t="s">
        <v>475</v>
      </c>
      <c r="N126" s="1" t="s">
        <v>476</v>
      </c>
      <c r="O126" s="1" t="s">
        <v>108</v>
      </c>
      <c r="P126" s="1" t="s">
        <v>9</v>
      </c>
      <c r="Q126" s="1" t="s">
        <v>80</v>
      </c>
      <c r="R126" s="1" t="s">
        <v>519</v>
      </c>
      <c r="S126" s="2"/>
      <c r="T126" s="1">
        <v>41</v>
      </c>
      <c r="U126" s="1">
        <v>39</v>
      </c>
      <c r="V126" s="1">
        <v>37</v>
      </c>
      <c r="W126" s="1">
        <v>37</v>
      </c>
      <c r="Z126" s="1">
        <v>23</v>
      </c>
      <c r="AB126" s="1">
        <v>17</v>
      </c>
      <c r="AE126" s="1" t="s">
        <v>77</v>
      </c>
      <c r="AF126" s="12">
        <v>17</v>
      </c>
      <c r="AG126" s="12">
        <v>9</v>
      </c>
      <c r="AH126" s="12">
        <v>8</v>
      </c>
      <c r="AI126" s="13">
        <v>39.470588235294116</v>
      </c>
      <c r="AJ126" s="13">
        <v>54</v>
      </c>
      <c r="AK126" s="13">
        <v>28</v>
      </c>
      <c r="AL126" s="13">
        <v>6.6906431590956137</v>
      </c>
      <c r="AM126" s="14"/>
      <c r="AN126" s="14"/>
      <c r="AO126" s="3"/>
      <c r="AP126" s="14">
        <v>0</v>
      </c>
      <c r="AQ126" s="14">
        <v>17</v>
      </c>
      <c r="AR126" s="3">
        <f t="shared" si="17"/>
        <v>0</v>
      </c>
      <c r="AZ126" s="1">
        <f t="shared" si="1"/>
        <v>0</v>
      </c>
    </row>
    <row r="127" spans="1:52" ht="15.75" customHeight="1" x14ac:dyDescent="0.3">
      <c r="A127" s="1" t="s">
        <v>520</v>
      </c>
      <c r="B127" s="2" t="s">
        <v>521</v>
      </c>
      <c r="C127" s="2">
        <v>160000027</v>
      </c>
      <c r="D127" s="1" t="s">
        <v>522</v>
      </c>
      <c r="E127" s="1" t="s">
        <v>523</v>
      </c>
      <c r="F127" s="1" t="s">
        <v>67</v>
      </c>
      <c r="G127" s="1" t="s">
        <v>86</v>
      </c>
      <c r="H127" s="1" t="s">
        <v>87</v>
      </c>
      <c r="I127" s="1" t="s">
        <v>70</v>
      </c>
      <c r="J127" s="1" t="s">
        <v>460</v>
      </c>
      <c r="K127" s="1">
        <v>6</v>
      </c>
      <c r="L127" s="1" t="s">
        <v>524</v>
      </c>
      <c r="M127" s="1" t="s">
        <v>525</v>
      </c>
      <c r="N127" s="1" t="s">
        <v>526</v>
      </c>
      <c r="O127" s="1" t="s">
        <v>74</v>
      </c>
      <c r="P127" s="1" t="s">
        <v>9</v>
      </c>
      <c r="Q127" s="1" t="s">
        <v>75</v>
      </c>
      <c r="R127" s="1" t="s">
        <v>248</v>
      </c>
      <c r="S127" s="2"/>
      <c r="AC127" s="1">
        <v>25</v>
      </c>
      <c r="AD127" s="1">
        <v>20</v>
      </c>
      <c r="AE127" s="1" t="s">
        <v>93</v>
      </c>
      <c r="AF127" s="15">
        <v>50</v>
      </c>
      <c r="AG127" s="15">
        <v>30</v>
      </c>
      <c r="AH127" s="15">
        <v>20</v>
      </c>
      <c r="AI127" s="13">
        <v>39.56</v>
      </c>
      <c r="AJ127" s="13">
        <v>54</v>
      </c>
      <c r="AK127" s="13">
        <v>54</v>
      </c>
      <c r="AL127" s="13">
        <v>26</v>
      </c>
      <c r="AM127" s="14">
        <v>27</v>
      </c>
      <c r="AN127" s="14">
        <v>27</v>
      </c>
      <c r="AO127" s="3">
        <f>AN127/AM127</f>
        <v>1</v>
      </c>
      <c r="AP127" s="14">
        <v>0</v>
      </c>
      <c r="AQ127" s="14">
        <v>50</v>
      </c>
      <c r="AR127" s="3">
        <f t="shared" si="17"/>
        <v>0</v>
      </c>
      <c r="AZ127" s="1">
        <f t="shared" si="1"/>
        <v>0</v>
      </c>
    </row>
    <row r="128" spans="1:52" ht="15.75" customHeight="1" x14ac:dyDescent="0.3">
      <c r="A128" s="1" t="s">
        <v>527</v>
      </c>
      <c r="B128" s="2" t="s">
        <v>528</v>
      </c>
      <c r="C128" s="2">
        <v>160000042</v>
      </c>
      <c r="D128" s="1" t="s">
        <v>458</v>
      </c>
      <c r="E128" s="1" t="s">
        <v>459</v>
      </c>
      <c r="F128" s="1" t="s">
        <v>67</v>
      </c>
      <c r="G128" s="1" t="s">
        <v>86</v>
      </c>
      <c r="H128" s="1" t="s">
        <v>87</v>
      </c>
      <c r="I128" s="1" t="s">
        <v>70</v>
      </c>
      <c r="J128" s="1" t="s">
        <v>460</v>
      </c>
      <c r="K128" s="1">
        <v>6</v>
      </c>
      <c r="L128" s="1" t="s">
        <v>461</v>
      </c>
      <c r="M128" s="1" t="s">
        <v>462</v>
      </c>
      <c r="N128" s="1" t="s">
        <v>463</v>
      </c>
      <c r="O128" s="1" t="s">
        <v>150</v>
      </c>
      <c r="P128" s="1" t="s">
        <v>9</v>
      </c>
      <c r="Q128" s="1" t="s">
        <v>141</v>
      </c>
      <c r="R128" s="1" t="s">
        <v>529</v>
      </c>
      <c r="S128" s="2"/>
      <c r="T128" s="1">
        <v>8</v>
      </c>
      <c r="U128" s="1">
        <v>8</v>
      </c>
      <c r="AE128" s="1" t="s">
        <v>110</v>
      </c>
      <c r="AF128" s="12">
        <v>16</v>
      </c>
      <c r="AG128" s="12">
        <v>4</v>
      </c>
      <c r="AH128" s="12">
        <v>12</v>
      </c>
      <c r="AI128" s="12">
        <v>39.875</v>
      </c>
      <c r="AJ128" s="12">
        <v>67</v>
      </c>
      <c r="AK128" s="12">
        <v>30</v>
      </c>
      <c r="AL128" s="12">
        <v>13.400870618483463</v>
      </c>
      <c r="AM128" s="14"/>
      <c r="AN128" s="14"/>
      <c r="AO128" s="3"/>
      <c r="AP128" s="14">
        <v>0</v>
      </c>
      <c r="AQ128" s="14">
        <v>16</v>
      </c>
      <c r="AR128" s="3">
        <f t="shared" si="17"/>
        <v>0</v>
      </c>
      <c r="AZ128" s="1">
        <f t="shared" si="1"/>
        <v>0</v>
      </c>
    </row>
    <row r="129" spans="1:52" ht="15.75" customHeight="1" x14ac:dyDescent="0.3">
      <c r="A129" s="1" t="s">
        <v>530</v>
      </c>
      <c r="B129" s="2" t="s">
        <v>531</v>
      </c>
      <c r="C129" s="2">
        <v>160000023</v>
      </c>
      <c r="D129" s="1" t="s">
        <v>504</v>
      </c>
      <c r="E129" s="1" t="s">
        <v>505</v>
      </c>
      <c r="F129" s="1" t="s">
        <v>67</v>
      </c>
      <c r="G129" s="1" t="s">
        <v>86</v>
      </c>
      <c r="H129" s="1" t="s">
        <v>87</v>
      </c>
      <c r="I129" s="1" t="s">
        <v>70</v>
      </c>
      <c r="J129" s="1" t="s">
        <v>460</v>
      </c>
      <c r="K129" s="1">
        <v>6</v>
      </c>
      <c r="L129" s="1" t="s">
        <v>506</v>
      </c>
      <c r="M129" s="1" t="s">
        <v>475</v>
      </c>
      <c r="N129" s="1" t="s">
        <v>476</v>
      </c>
      <c r="O129" s="1" t="s">
        <v>108</v>
      </c>
      <c r="P129" s="1" t="s">
        <v>9</v>
      </c>
      <c r="Q129" s="1" t="s">
        <v>80</v>
      </c>
      <c r="R129" s="1" t="s">
        <v>168</v>
      </c>
      <c r="S129" s="2"/>
      <c r="T129" s="1">
        <v>97</v>
      </c>
      <c r="U129" s="1">
        <v>111</v>
      </c>
      <c r="V129" s="1">
        <v>137</v>
      </c>
      <c r="W129" s="1">
        <v>109</v>
      </c>
      <c r="Z129" s="1">
        <v>176</v>
      </c>
      <c r="AB129" s="1">
        <v>120</v>
      </c>
      <c r="AE129" s="1" t="s">
        <v>77</v>
      </c>
      <c r="AF129" s="12">
        <v>120</v>
      </c>
      <c r="AG129" s="12">
        <v>47</v>
      </c>
      <c r="AH129" s="12">
        <v>73</v>
      </c>
      <c r="AI129" s="13">
        <v>39.908333333333331</v>
      </c>
      <c r="AJ129" s="13">
        <v>62</v>
      </c>
      <c r="AK129" s="13">
        <v>25</v>
      </c>
      <c r="AL129" s="13">
        <v>9.3494221574315048</v>
      </c>
      <c r="AM129" s="14">
        <v>53</v>
      </c>
      <c r="AN129" s="14">
        <v>52</v>
      </c>
      <c r="AO129" s="3">
        <f t="shared" ref="AO129:AO131" si="18">AN129/AM129</f>
        <v>0.98113207547169812</v>
      </c>
      <c r="AP129" s="14">
        <v>0</v>
      </c>
      <c r="AQ129" s="14">
        <v>120</v>
      </c>
      <c r="AR129" s="3">
        <f t="shared" si="17"/>
        <v>0</v>
      </c>
      <c r="AZ129" s="1">
        <f t="shared" si="1"/>
        <v>0</v>
      </c>
    </row>
    <row r="130" spans="1:52" ht="15.75" customHeight="1" x14ac:dyDescent="0.3">
      <c r="A130" s="1" t="s">
        <v>532</v>
      </c>
      <c r="B130" s="2" t="s">
        <v>533</v>
      </c>
      <c r="C130" s="2">
        <v>260000047</v>
      </c>
      <c r="D130" s="1" t="s">
        <v>472</v>
      </c>
      <c r="E130" s="1" t="s">
        <v>473</v>
      </c>
      <c r="F130" s="1" t="s">
        <v>67</v>
      </c>
      <c r="G130" s="1" t="s">
        <v>68</v>
      </c>
      <c r="H130" s="1" t="s">
        <v>69</v>
      </c>
      <c r="I130" s="1" t="s">
        <v>70</v>
      </c>
      <c r="J130" s="1" t="s">
        <v>460</v>
      </c>
      <c r="K130" s="1">
        <v>6</v>
      </c>
      <c r="L130" s="1" t="s">
        <v>474</v>
      </c>
      <c r="M130" s="1" t="s">
        <v>475</v>
      </c>
      <c r="N130" s="1" t="s">
        <v>476</v>
      </c>
      <c r="O130" s="1" t="s">
        <v>108</v>
      </c>
      <c r="P130" s="1" t="s">
        <v>9</v>
      </c>
      <c r="Q130" s="1" t="s">
        <v>80</v>
      </c>
      <c r="R130" s="1" t="s">
        <v>534</v>
      </c>
      <c r="S130" s="2"/>
      <c r="T130" s="1">
        <v>10</v>
      </c>
      <c r="U130" s="1">
        <v>36</v>
      </c>
      <c r="V130" s="1">
        <v>33</v>
      </c>
      <c r="W130" s="1">
        <v>34</v>
      </c>
      <c r="X130" s="1">
        <v>39</v>
      </c>
      <c r="Y130" s="1">
        <v>30</v>
      </c>
      <c r="Z130" s="1">
        <v>30</v>
      </c>
      <c r="AA130" s="1">
        <v>1</v>
      </c>
      <c r="AB130" s="1">
        <v>2</v>
      </c>
      <c r="AD130" s="1">
        <v>3</v>
      </c>
      <c r="AE130" s="1" t="s">
        <v>77</v>
      </c>
      <c r="AF130" s="12">
        <v>2</v>
      </c>
      <c r="AG130" s="12">
        <v>1</v>
      </c>
      <c r="AH130" s="12">
        <v>1</v>
      </c>
      <c r="AI130" s="13">
        <v>40</v>
      </c>
      <c r="AJ130" s="13">
        <v>43</v>
      </c>
      <c r="AK130" s="13">
        <v>37</v>
      </c>
      <c r="AL130" s="13">
        <v>4.2426406871192848</v>
      </c>
      <c r="AM130" s="14">
        <v>1</v>
      </c>
      <c r="AN130" s="14"/>
      <c r="AO130" s="3">
        <f t="shared" si="18"/>
        <v>0</v>
      </c>
      <c r="AP130" s="14">
        <v>0</v>
      </c>
      <c r="AQ130" s="14">
        <v>2</v>
      </c>
      <c r="AR130" s="3">
        <f t="shared" si="17"/>
        <v>0</v>
      </c>
      <c r="AZ130" s="1">
        <f t="shared" si="1"/>
        <v>0</v>
      </c>
    </row>
    <row r="131" spans="1:52" ht="15.75" customHeight="1" x14ac:dyDescent="0.3">
      <c r="A131" s="1" t="s">
        <v>535</v>
      </c>
      <c r="B131" s="2" t="s">
        <v>536</v>
      </c>
      <c r="C131" s="2">
        <v>160000023</v>
      </c>
      <c r="D131" s="1" t="s">
        <v>504</v>
      </c>
      <c r="E131" s="1" t="s">
        <v>505</v>
      </c>
      <c r="F131" s="1" t="s">
        <v>67</v>
      </c>
      <c r="G131" s="1" t="s">
        <v>86</v>
      </c>
      <c r="H131" s="1" t="s">
        <v>87</v>
      </c>
      <c r="I131" s="1" t="s">
        <v>70</v>
      </c>
      <c r="J131" s="1" t="s">
        <v>460</v>
      </c>
      <c r="K131" s="1">
        <v>6</v>
      </c>
      <c r="L131" s="1" t="s">
        <v>506</v>
      </c>
      <c r="M131" s="1" t="s">
        <v>475</v>
      </c>
      <c r="N131" s="1" t="s">
        <v>476</v>
      </c>
      <c r="O131" s="1" t="s">
        <v>108</v>
      </c>
      <c r="P131" s="1" t="s">
        <v>9</v>
      </c>
      <c r="Q131" s="1" t="s">
        <v>75</v>
      </c>
      <c r="R131" s="1" t="s">
        <v>248</v>
      </c>
      <c r="S131" s="2"/>
      <c r="T131" s="1">
        <v>119</v>
      </c>
      <c r="U131" s="1">
        <v>118</v>
      </c>
      <c r="V131" s="1">
        <v>54</v>
      </c>
      <c r="W131" s="1">
        <v>65</v>
      </c>
      <c r="Z131" s="1">
        <v>72</v>
      </c>
      <c r="AA131" s="1">
        <v>5</v>
      </c>
      <c r="AB131" s="1">
        <v>83</v>
      </c>
      <c r="AE131" s="1" t="s">
        <v>77</v>
      </c>
      <c r="AF131" s="12">
        <v>83</v>
      </c>
      <c r="AG131" s="12">
        <v>43</v>
      </c>
      <c r="AH131" s="12">
        <v>40</v>
      </c>
      <c r="AI131" s="13">
        <v>40.253012048192772</v>
      </c>
      <c r="AJ131" s="13">
        <v>63</v>
      </c>
      <c r="AK131" s="13">
        <v>26</v>
      </c>
      <c r="AL131" s="13">
        <v>9.1981485060243209</v>
      </c>
      <c r="AM131" s="14">
        <v>35</v>
      </c>
      <c r="AN131" s="14">
        <v>35</v>
      </c>
      <c r="AO131" s="3">
        <f t="shared" si="18"/>
        <v>1</v>
      </c>
      <c r="AP131" s="14">
        <v>0</v>
      </c>
      <c r="AQ131" s="14">
        <v>83</v>
      </c>
      <c r="AR131" s="3">
        <f t="shared" si="17"/>
        <v>0</v>
      </c>
      <c r="AZ131" s="1">
        <f t="shared" si="1"/>
        <v>0</v>
      </c>
    </row>
    <row r="132" spans="1:52" ht="15.75" customHeight="1" x14ac:dyDescent="0.3">
      <c r="A132" s="1" t="s">
        <v>537</v>
      </c>
      <c r="B132" s="2" t="s">
        <v>538</v>
      </c>
      <c r="C132" s="2">
        <v>260000043</v>
      </c>
      <c r="D132" s="1" t="s">
        <v>498</v>
      </c>
      <c r="E132" s="1" t="s">
        <v>499</v>
      </c>
      <c r="F132" s="1" t="s">
        <v>67</v>
      </c>
      <c r="G132" s="1" t="s">
        <v>68</v>
      </c>
      <c r="H132" s="1" t="s">
        <v>69</v>
      </c>
      <c r="I132" s="1" t="s">
        <v>70</v>
      </c>
      <c r="J132" s="1" t="s">
        <v>98</v>
      </c>
      <c r="K132" s="1">
        <v>6</v>
      </c>
      <c r="L132" s="1" t="s">
        <v>500</v>
      </c>
      <c r="M132" s="1" t="s">
        <v>483</v>
      </c>
      <c r="N132" s="1" t="s">
        <v>482</v>
      </c>
      <c r="O132" s="1" t="s">
        <v>150</v>
      </c>
      <c r="P132" s="1" t="s">
        <v>9</v>
      </c>
      <c r="Q132" s="1" t="s">
        <v>80</v>
      </c>
      <c r="R132" s="1" t="s">
        <v>109</v>
      </c>
      <c r="S132" s="2"/>
      <c r="T132" s="1">
        <v>39</v>
      </c>
      <c r="U132" s="1">
        <v>35</v>
      </c>
      <c r="V132" s="1">
        <v>33</v>
      </c>
      <c r="AE132" s="1" t="s">
        <v>110</v>
      </c>
      <c r="AF132" s="12">
        <v>78</v>
      </c>
      <c r="AG132" s="12">
        <v>32</v>
      </c>
      <c r="AH132" s="12">
        <v>46</v>
      </c>
      <c r="AI132" s="12">
        <v>40.333333333333336</v>
      </c>
      <c r="AJ132" s="12">
        <v>67</v>
      </c>
      <c r="AK132" s="12">
        <v>24</v>
      </c>
      <c r="AL132" s="12">
        <v>10.652317187910873</v>
      </c>
      <c r="AM132" s="14"/>
      <c r="AN132" s="14"/>
      <c r="AO132" s="3"/>
      <c r="AP132" s="14">
        <v>0</v>
      </c>
      <c r="AQ132" s="14">
        <v>78</v>
      </c>
      <c r="AR132" s="3">
        <f t="shared" si="17"/>
        <v>0</v>
      </c>
      <c r="AS132" s="1">
        <v>0</v>
      </c>
      <c r="AT132" s="1">
        <v>18</v>
      </c>
      <c r="AU132" s="1">
        <v>0</v>
      </c>
      <c r="AV132" s="1">
        <v>2</v>
      </c>
      <c r="AW132" s="1">
        <v>0</v>
      </c>
      <c r="AX132" s="1">
        <v>0</v>
      </c>
      <c r="AY132" s="1">
        <v>0</v>
      </c>
      <c r="AZ132" s="1">
        <f t="shared" si="1"/>
        <v>20</v>
      </c>
    </row>
    <row r="133" spans="1:52" ht="15.75" customHeight="1" x14ac:dyDescent="0.3">
      <c r="A133" s="1" t="s">
        <v>539</v>
      </c>
      <c r="B133" s="2" t="s">
        <v>540</v>
      </c>
      <c r="C133" s="2">
        <v>160000042</v>
      </c>
      <c r="D133" s="1" t="s">
        <v>458</v>
      </c>
      <c r="E133" s="1" t="s">
        <v>459</v>
      </c>
      <c r="F133" s="1" t="s">
        <v>67</v>
      </c>
      <c r="G133" s="1" t="s">
        <v>86</v>
      </c>
      <c r="H133" s="1" t="s">
        <v>87</v>
      </c>
      <c r="I133" s="1" t="s">
        <v>70</v>
      </c>
      <c r="J133" s="1" t="s">
        <v>460</v>
      </c>
      <c r="K133" s="1">
        <v>6</v>
      </c>
      <c r="L133" s="1" t="s">
        <v>461</v>
      </c>
      <c r="M133" s="1" t="s">
        <v>462</v>
      </c>
      <c r="N133" s="1" t="s">
        <v>463</v>
      </c>
      <c r="O133" s="1" t="s">
        <v>150</v>
      </c>
      <c r="P133" s="1" t="s">
        <v>9</v>
      </c>
      <c r="Q133" s="1" t="s">
        <v>75</v>
      </c>
      <c r="R133" s="1" t="s">
        <v>541</v>
      </c>
      <c r="S133" s="2"/>
      <c r="U133" s="1">
        <v>3</v>
      </c>
      <c r="AE133" s="1" t="s">
        <v>175</v>
      </c>
      <c r="AF133" s="12">
        <v>6</v>
      </c>
      <c r="AG133" s="12">
        <v>2</v>
      </c>
      <c r="AH133" s="12">
        <v>4</v>
      </c>
      <c r="AI133" s="12">
        <v>40.333333333333336</v>
      </c>
      <c r="AJ133" s="12">
        <v>41</v>
      </c>
      <c r="AK133" s="12">
        <v>39</v>
      </c>
      <c r="AL133" s="12">
        <v>1.0327955589887032</v>
      </c>
      <c r="AM133" s="14"/>
      <c r="AN133" s="14"/>
      <c r="AO133" s="3"/>
      <c r="AP133" s="14">
        <v>0</v>
      </c>
      <c r="AQ133" s="14">
        <v>6</v>
      </c>
      <c r="AR133" s="3">
        <f t="shared" si="17"/>
        <v>0</v>
      </c>
      <c r="AZ133" s="1">
        <f t="shared" si="1"/>
        <v>0</v>
      </c>
    </row>
    <row r="134" spans="1:52" ht="15.75" customHeight="1" x14ac:dyDescent="0.3">
      <c r="A134" s="1" t="s">
        <v>542</v>
      </c>
      <c r="B134" s="2" t="s">
        <v>543</v>
      </c>
      <c r="C134" s="2">
        <v>260000039</v>
      </c>
      <c r="D134" s="1" t="s">
        <v>544</v>
      </c>
      <c r="E134" s="1" t="s">
        <v>545</v>
      </c>
      <c r="F134" s="1" t="s">
        <v>67</v>
      </c>
      <c r="G134" s="1" t="s">
        <v>68</v>
      </c>
      <c r="H134" s="1" t="s">
        <v>69</v>
      </c>
      <c r="I134" s="1" t="s">
        <v>70</v>
      </c>
      <c r="J134" s="1" t="s">
        <v>98</v>
      </c>
      <c r="K134" s="1">
        <v>6</v>
      </c>
      <c r="L134" s="1" t="s">
        <v>546</v>
      </c>
      <c r="M134" s="1" t="s">
        <v>107</v>
      </c>
      <c r="N134" s="1" t="s">
        <v>106</v>
      </c>
      <c r="O134" s="1" t="s">
        <v>108</v>
      </c>
      <c r="P134" s="1" t="s">
        <v>9</v>
      </c>
      <c r="Q134" s="1" t="s">
        <v>75</v>
      </c>
      <c r="R134" s="1" t="s">
        <v>248</v>
      </c>
      <c r="S134" s="2"/>
      <c r="T134" s="1">
        <v>52</v>
      </c>
      <c r="U134" s="1">
        <v>66</v>
      </c>
      <c r="V134" s="1">
        <v>47</v>
      </c>
      <c r="W134" s="1">
        <v>49</v>
      </c>
      <c r="X134" s="1">
        <v>15</v>
      </c>
      <c r="Y134" s="1">
        <v>47</v>
      </c>
      <c r="Z134" s="1">
        <v>16</v>
      </c>
      <c r="AA134" s="1">
        <v>49</v>
      </c>
      <c r="AC134" s="1">
        <v>43</v>
      </c>
      <c r="AD134" s="1">
        <v>32</v>
      </c>
      <c r="AE134" s="1" t="s">
        <v>93</v>
      </c>
      <c r="AF134" s="12">
        <v>86</v>
      </c>
      <c r="AG134" s="12">
        <v>48</v>
      </c>
      <c r="AH134" s="12">
        <v>38</v>
      </c>
      <c r="AI134" s="13">
        <v>40.463414634146339</v>
      </c>
      <c r="AJ134" s="13">
        <v>63</v>
      </c>
      <c r="AK134" s="13">
        <v>63</v>
      </c>
      <c r="AL134" s="13">
        <v>30</v>
      </c>
      <c r="AM134" s="14">
        <v>11</v>
      </c>
      <c r="AN134" s="14">
        <v>11</v>
      </c>
      <c r="AO134" s="3">
        <f t="shared" ref="AO134:AO135" si="19">AN134/AM134</f>
        <v>1</v>
      </c>
      <c r="AP134" s="14">
        <v>0</v>
      </c>
      <c r="AQ134" s="14">
        <v>82</v>
      </c>
      <c r="AR134" s="3">
        <f t="shared" si="17"/>
        <v>0</v>
      </c>
      <c r="AS134" s="1">
        <v>1</v>
      </c>
      <c r="AT134" s="1">
        <v>9</v>
      </c>
      <c r="AU134" s="1">
        <v>2</v>
      </c>
      <c r="AV134" s="1">
        <v>1</v>
      </c>
      <c r="AW134" s="1">
        <v>1</v>
      </c>
      <c r="AX134" s="1">
        <v>11</v>
      </c>
      <c r="AY134" s="1">
        <v>0</v>
      </c>
      <c r="AZ134" s="1">
        <f t="shared" si="1"/>
        <v>25</v>
      </c>
    </row>
    <row r="135" spans="1:52" ht="15.75" customHeight="1" x14ac:dyDescent="0.3">
      <c r="A135" s="1" t="s">
        <v>547</v>
      </c>
      <c r="B135" s="2" t="s">
        <v>548</v>
      </c>
      <c r="C135" s="2">
        <v>260000039</v>
      </c>
      <c r="D135" s="1" t="s">
        <v>544</v>
      </c>
      <c r="E135" s="1" t="s">
        <v>545</v>
      </c>
      <c r="F135" s="1" t="s">
        <v>67</v>
      </c>
      <c r="G135" s="1" t="s">
        <v>68</v>
      </c>
      <c r="H135" s="1" t="s">
        <v>69</v>
      </c>
      <c r="I135" s="1" t="s">
        <v>70</v>
      </c>
      <c r="J135" s="1" t="s">
        <v>98</v>
      </c>
      <c r="K135" s="1">
        <v>6</v>
      </c>
      <c r="L135" s="1" t="s">
        <v>546</v>
      </c>
      <c r="M135" s="1" t="s">
        <v>107</v>
      </c>
      <c r="N135" s="1" t="s">
        <v>106</v>
      </c>
      <c r="O135" s="1" t="s">
        <v>108</v>
      </c>
      <c r="P135" s="1" t="s">
        <v>9</v>
      </c>
      <c r="Q135" s="1" t="s">
        <v>80</v>
      </c>
      <c r="R135" s="1" t="s">
        <v>228</v>
      </c>
      <c r="S135" s="2"/>
      <c r="T135" s="1">
        <v>25</v>
      </c>
      <c r="U135" s="1">
        <v>46</v>
      </c>
      <c r="V135" s="1">
        <v>43</v>
      </c>
      <c r="W135" s="1">
        <v>39</v>
      </c>
      <c r="X135" s="1">
        <v>19</v>
      </c>
      <c r="Y135" s="1">
        <v>15</v>
      </c>
      <c r="Z135" s="1">
        <v>13</v>
      </c>
      <c r="AA135" s="1">
        <v>40</v>
      </c>
      <c r="AC135" s="1">
        <v>75</v>
      </c>
      <c r="AD135" s="1">
        <v>35</v>
      </c>
      <c r="AE135" s="1" t="s">
        <v>93</v>
      </c>
      <c r="AF135" s="12">
        <v>150</v>
      </c>
      <c r="AG135" s="12">
        <v>58</v>
      </c>
      <c r="AH135" s="12">
        <v>92</v>
      </c>
      <c r="AI135" s="13">
        <v>40.589041095890408</v>
      </c>
      <c r="AJ135" s="13">
        <v>66</v>
      </c>
      <c r="AK135" s="13">
        <v>66</v>
      </c>
      <c r="AL135" s="13">
        <v>29</v>
      </c>
      <c r="AM135" s="14">
        <v>36</v>
      </c>
      <c r="AN135" s="14">
        <v>36</v>
      </c>
      <c r="AO135" s="3">
        <f t="shared" si="19"/>
        <v>1</v>
      </c>
      <c r="AP135" s="14">
        <v>0</v>
      </c>
      <c r="AQ135" s="14">
        <v>146</v>
      </c>
      <c r="AR135" s="3">
        <f t="shared" si="17"/>
        <v>0</v>
      </c>
      <c r="AS135" s="1">
        <v>19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9</v>
      </c>
      <c r="AZ135" s="1">
        <f t="shared" si="1"/>
        <v>28</v>
      </c>
    </row>
    <row r="136" spans="1:52" ht="15.75" customHeight="1" x14ac:dyDescent="0.3">
      <c r="A136" s="1" t="s">
        <v>549</v>
      </c>
      <c r="B136" s="2" t="s">
        <v>550</v>
      </c>
      <c r="C136" s="2">
        <v>160000042</v>
      </c>
      <c r="D136" s="1" t="s">
        <v>458</v>
      </c>
      <c r="E136" s="1" t="s">
        <v>459</v>
      </c>
      <c r="F136" s="1" t="s">
        <v>67</v>
      </c>
      <c r="G136" s="1" t="s">
        <v>86</v>
      </c>
      <c r="H136" s="1" t="s">
        <v>87</v>
      </c>
      <c r="I136" s="1" t="s">
        <v>70</v>
      </c>
      <c r="J136" s="1" t="s">
        <v>460</v>
      </c>
      <c r="K136" s="1">
        <v>6</v>
      </c>
      <c r="L136" s="1" t="s">
        <v>461</v>
      </c>
      <c r="M136" s="1" t="s">
        <v>462</v>
      </c>
      <c r="N136" s="1" t="s">
        <v>463</v>
      </c>
      <c r="O136" s="1" t="s">
        <v>150</v>
      </c>
      <c r="P136" s="1" t="s">
        <v>9</v>
      </c>
      <c r="Q136" s="1" t="s">
        <v>141</v>
      </c>
      <c r="R136" s="1" t="s">
        <v>551</v>
      </c>
      <c r="S136" s="2"/>
      <c r="T136" s="1">
        <v>18</v>
      </c>
      <c r="U136" s="1">
        <v>24</v>
      </c>
      <c r="AE136" s="1" t="s">
        <v>110</v>
      </c>
      <c r="AF136" s="12">
        <v>36</v>
      </c>
      <c r="AG136" s="12">
        <v>8</v>
      </c>
      <c r="AH136" s="12">
        <v>28</v>
      </c>
      <c r="AI136" s="12">
        <v>40.722222222222221</v>
      </c>
      <c r="AJ136" s="12">
        <v>57</v>
      </c>
      <c r="AK136" s="12">
        <v>26</v>
      </c>
      <c r="AL136" s="12">
        <v>9.5785806020102093</v>
      </c>
      <c r="AM136" s="14"/>
      <c r="AN136" s="14"/>
      <c r="AO136" s="3"/>
      <c r="AP136" s="14">
        <v>0</v>
      </c>
      <c r="AQ136" s="14">
        <v>36</v>
      </c>
      <c r="AR136" s="3">
        <f t="shared" si="17"/>
        <v>0</v>
      </c>
      <c r="AZ136" s="1">
        <f t="shared" si="1"/>
        <v>0</v>
      </c>
    </row>
    <row r="137" spans="1:52" ht="15.75" customHeight="1" x14ac:dyDescent="0.3">
      <c r="A137" s="1" t="s">
        <v>552</v>
      </c>
      <c r="B137" s="2" t="s">
        <v>553</v>
      </c>
      <c r="C137" s="2">
        <v>260000047</v>
      </c>
      <c r="D137" s="1" t="s">
        <v>472</v>
      </c>
      <c r="E137" s="1" t="s">
        <v>473</v>
      </c>
      <c r="F137" s="1" t="s">
        <v>67</v>
      </c>
      <c r="G137" s="1" t="s">
        <v>68</v>
      </c>
      <c r="H137" s="1" t="s">
        <v>69</v>
      </c>
      <c r="I137" s="1" t="s">
        <v>70</v>
      </c>
      <c r="J137" s="1" t="s">
        <v>460</v>
      </c>
      <c r="K137" s="1">
        <v>6</v>
      </c>
      <c r="L137" s="1" t="s">
        <v>474</v>
      </c>
      <c r="M137" s="1" t="s">
        <v>475</v>
      </c>
      <c r="N137" s="1" t="s">
        <v>476</v>
      </c>
      <c r="O137" s="1" t="s">
        <v>108</v>
      </c>
      <c r="P137" s="1" t="s">
        <v>9</v>
      </c>
      <c r="Q137" s="1" t="s">
        <v>80</v>
      </c>
      <c r="R137" s="1" t="s">
        <v>109</v>
      </c>
      <c r="S137" s="2"/>
      <c r="T137" s="1">
        <v>62</v>
      </c>
      <c r="U137" s="1">
        <v>73</v>
      </c>
      <c r="V137" s="1">
        <v>75</v>
      </c>
      <c r="W137" s="1">
        <v>80</v>
      </c>
      <c r="X137" s="1">
        <v>81</v>
      </c>
      <c r="Y137" s="1">
        <v>63</v>
      </c>
      <c r="Z137" s="1">
        <v>55</v>
      </c>
      <c r="AB137" s="1">
        <v>41</v>
      </c>
      <c r="AC137" s="1">
        <v>27</v>
      </c>
      <c r="AD137" s="1">
        <v>10</v>
      </c>
      <c r="AE137" s="1" t="s">
        <v>77</v>
      </c>
      <c r="AF137" s="12">
        <v>41</v>
      </c>
      <c r="AG137" s="12">
        <v>18</v>
      </c>
      <c r="AH137" s="12">
        <v>23</v>
      </c>
      <c r="AI137" s="13">
        <v>40.825000000000003</v>
      </c>
      <c r="AJ137" s="13">
        <v>58</v>
      </c>
      <c r="AK137" s="13">
        <v>29</v>
      </c>
      <c r="AL137" s="13">
        <v>7.2035870694166331</v>
      </c>
      <c r="AM137" s="14">
        <v>3</v>
      </c>
      <c r="AN137" s="14"/>
      <c r="AO137" s="3">
        <f>AN137/AM137</f>
        <v>0</v>
      </c>
      <c r="AP137" s="14">
        <v>0</v>
      </c>
      <c r="AQ137" s="14">
        <v>41</v>
      </c>
      <c r="AR137" s="3">
        <f t="shared" si="17"/>
        <v>0</v>
      </c>
      <c r="AZ137" s="1">
        <f t="shared" si="1"/>
        <v>0</v>
      </c>
    </row>
    <row r="138" spans="1:52" ht="15.75" customHeight="1" x14ac:dyDescent="0.3">
      <c r="A138" s="1" t="s">
        <v>554</v>
      </c>
      <c r="B138" s="2" t="s">
        <v>555</v>
      </c>
      <c r="C138" s="2">
        <v>260000069</v>
      </c>
      <c r="D138" s="1" t="s">
        <v>556</v>
      </c>
      <c r="E138" s="1" t="s">
        <v>557</v>
      </c>
      <c r="F138" s="1" t="s">
        <v>67</v>
      </c>
      <c r="G138" s="1" t="s">
        <v>68</v>
      </c>
      <c r="H138" s="1" t="s">
        <v>69</v>
      </c>
      <c r="I138" s="1" t="s">
        <v>70</v>
      </c>
      <c r="J138" s="1" t="s">
        <v>440</v>
      </c>
      <c r="K138" s="1">
        <v>6</v>
      </c>
      <c r="L138" s="1" t="s">
        <v>558</v>
      </c>
      <c r="M138" s="1" t="s">
        <v>559</v>
      </c>
      <c r="N138" s="1" t="s">
        <v>560</v>
      </c>
      <c r="O138" s="1" t="s">
        <v>150</v>
      </c>
      <c r="P138" s="1" t="s">
        <v>9</v>
      </c>
      <c r="Q138" s="1" t="s">
        <v>75</v>
      </c>
      <c r="R138" s="1" t="s">
        <v>561</v>
      </c>
      <c r="S138" s="2"/>
      <c r="T138" s="1">
        <v>16</v>
      </c>
      <c r="U138" s="1">
        <v>14</v>
      </c>
      <c r="V138" s="1">
        <v>14</v>
      </c>
      <c r="X138" s="1">
        <v>15</v>
      </c>
      <c r="Y138" s="1">
        <v>12</v>
      </c>
      <c r="Z138" s="1">
        <v>8</v>
      </c>
      <c r="AA138" s="1">
        <v>21</v>
      </c>
      <c r="AB138" s="1">
        <v>15</v>
      </c>
      <c r="AC138" s="1">
        <v>22</v>
      </c>
      <c r="AD138" s="1">
        <v>14</v>
      </c>
      <c r="AE138" s="1" t="s">
        <v>77</v>
      </c>
      <c r="AF138" s="12">
        <v>15</v>
      </c>
      <c r="AG138" s="12">
        <v>14</v>
      </c>
      <c r="AH138" s="12">
        <v>1</v>
      </c>
      <c r="AI138" s="13">
        <v>41</v>
      </c>
      <c r="AJ138" s="13">
        <v>54</v>
      </c>
      <c r="AK138" s="13">
        <v>31</v>
      </c>
      <c r="AL138" s="13">
        <v>8.4091786587208208</v>
      </c>
      <c r="AM138" s="14"/>
      <c r="AN138" s="14"/>
      <c r="AO138" s="3"/>
      <c r="AP138" s="14">
        <v>5</v>
      </c>
      <c r="AQ138" s="14">
        <v>10</v>
      </c>
      <c r="AR138" s="3">
        <f t="shared" si="17"/>
        <v>0.5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9</v>
      </c>
      <c r="AZ138" s="1">
        <f t="shared" si="1"/>
        <v>9</v>
      </c>
    </row>
    <row r="139" spans="1:52" ht="15.75" customHeight="1" x14ac:dyDescent="0.3">
      <c r="A139" s="1" t="s">
        <v>562</v>
      </c>
      <c r="B139" s="2" t="s">
        <v>563</v>
      </c>
      <c r="C139" s="2">
        <v>160000010</v>
      </c>
      <c r="D139" s="1" t="s">
        <v>487</v>
      </c>
      <c r="E139" s="1" t="s">
        <v>488</v>
      </c>
      <c r="F139" s="1" t="s">
        <v>67</v>
      </c>
      <c r="G139" s="1" t="s">
        <v>86</v>
      </c>
      <c r="H139" s="1" t="s">
        <v>87</v>
      </c>
      <c r="I139" s="1" t="s">
        <v>70</v>
      </c>
      <c r="J139" s="1" t="s">
        <v>460</v>
      </c>
      <c r="K139" s="1">
        <v>6</v>
      </c>
      <c r="L139" s="1" t="s">
        <v>489</v>
      </c>
      <c r="M139" s="1" t="s">
        <v>490</v>
      </c>
      <c r="N139" s="1" t="s">
        <v>491</v>
      </c>
      <c r="O139" s="1" t="s">
        <v>108</v>
      </c>
      <c r="P139" s="1" t="s">
        <v>9</v>
      </c>
      <c r="Q139" s="1" t="s">
        <v>141</v>
      </c>
      <c r="R139" s="1" t="s">
        <v>564</v>
      </c>
      <c r="S139" s="2"/>
      <c r="T139" s="1">
        <v>32</v>
      </c>
      <c r="AE139" s="1" t="s">
        <v>110</v>
      </c>
      <c r="AF139" s="12">
        <v>64</v>
      </c>
      <c r="AG139" s="12">
        <v>6</v>
      </c>
      <c r="AH139" s="12">
        <v>58</v>
      </c>
      <c r="AI139" s="12">
        <v>41.03125</v>
      </c>
      <c r="AJ139" s="12">
        <v>69</v>
      </c>
      <c r="AK139" s="12">
        <v>24</v>
      </c>
      <c r="AL139" s="12">
        <v>12.710411617727551</v>
      </c>
      <c r="AM139" s="14">
        <v>8</v>
      </c>
      <c r="AN139" s="14">
        <v>8</v>
      </c>
      <c r="AO139" s="3">
        <f t="shared" ref="AO139:AO144" si="20">AN139/AM139</f>
        <v>1</v>
      </c>
      <c r="AP139" s="14">
        <v>0</v>
      </c>
      <c r="AQ139" s="14">
        <v>64</v>
      </c>
      <c r="AR139" s="3">
        <f t="shared" si="17"/>
        <v>0</v>
      </c>
      <c r="AZ139" s="1">
        <f t="shared" si="1"/>
        <v>0</v>
      </c>
    </row>
    <row r="140" spans="1:52" ht="15.75" customHeight="1" x14ac:dyDescent="0.3">
      <c r="A140" s="1" t="s">
        <v>565</v>
      </c>
      <c r="B140" s="2" t="s">
        <v>566</v>
      </c>
      <c r="C140" s="2">
        <v>160000010</v>
      </c>
      <c r="D140" s="1" t="s">
        <v>487</v>
      </c>
      <c r="E140" s="1" t="s">
        <v>488</v>
      </c>
      <c r="F140" s="1" t="s">
        <v>67</v>
      </c>
      <c r="G140" s="1" t="s">
        <v>86</v>
      </c>
      <c r="H140" s="1" t="s">
        <v>87</v>
      </c>
      <c r="I140" s="1" t="s">
        <v>70</v>
      </c>
      <c r="J140" s="1" t="s">
        <v>460</v>
      </c>
      <c r="K140" s="1">
        <v>6</v>
      </c>
      <c r="L140" s="1" t="s">
        <v>489</v>
      </c>
      <c r="M140" s="1" t="s">
        <v>490</v>
      </c>
      <c r="N140" s="1" t="s">
        <v>491</v>
      </c>
      <c r="O140" s="1" t="s">
        <v>108</v>
      </c>
      <c r="P140" s="1" t="s">
        <v>9</v>
      </c>
      <c r="Q140" s="1" t="s">
        <v>80</v>
      </c>
      <c r="R140" s="1" t="s">
        <v>192</v>
      </c>
      <c r="S140" s="2"/>
      <c r="U140" s="1">
        <v>57</v>
      </c>
      <c r="AE140" s="1" t="s">
        <v>175</v>
      </c>
      <c r="AF140" s="12">
        <v>114</v>
      </c>
      <c r="AG140" s="12">
        <v>26</v>
      </c>
      <c r="AH140" s="12">
        <v>88</v>
      </c>
      <c r="AI140" s="12">
        <v>41.175438596491226</v>
      </c>
      <c r="AJ140" s="12">
        <v>63</v>
      </c>
      <c r="AK140" s="12">
        <v>25</v>
      </c>
      <c r="AL140" s="12">
        <v>8.0751400590994251</v>
      </c>
      <c r="AM140" s="14">
        <v>17</v>
      </c>
      <c r="AN140" s="14">
        <v>17</v>
      </c>
      <c r="AO140" s="3">
        <f t="shared" si="20"/>
        <v>1</v>
      </c>
      <c r="AP140" s="14">
        <v>0</v>
      </c>
      <c r="AQ140" s="14">
        <v>114</v>
      </c>
      <c r="AR140" s="3">
        <f t="shared" si="17"/>
        <v>0</v>
      </c>
      <c r="AZ140" s="1">
        <f t="shared" si="1"/>
        <v>0</v>
      </c>
    </row>
    <row r="141" spans="1:52" ht="15.75" customHeight="1" x14ac:dyDescent="0.3">
      <c r="A141" s="1" t="s">
        <v>567</v>
      </c>
      <c r="B141" s="2" t="s">
        <v>568</v>
      </c>
      <c r="C141" s="2">
        <v>260000052</v>
      </c>
      <c r="D141" s="1" t="s">
        <v>569</v>
      </c>
      <c r="E141" s="1" t="s">
        <v>570</v>
      </c>
      <c r="F141" s="1" t="s">
        <v>67</v>
      </c>
      <c r="G141" s="1" t="s">
        <v>68</v>
      </c>
      <c r="H141" s="1" t="s">
        <v>439</v>
      </c>
      <c r="I141" s="1" t="s">
        <v>70</v>
      </c>
      <c r="J141" s="1" t="s">
        <v>460</v>
      </c>
      <c r="K141" s="1">
        <v>6</v>
      </c>
      <c r="L141" s="1" t="s">
        <v>571</v>
      </c>
      <c r="M141" s="1" t="s">
        <v>572</v>
      </c>
      <c r="N141" s="1" t="s">
        <v>573</v>
      </c>
      <c r="O141" s="1" t="s">
        <v>150</v>
      </c>
      <c r="P141" s="1" t="s">
        <v>9</v>
      </c>
      <c r="Q141" s="1" t="s">
        <v>80</v>
      </c>
      <c r="R141" s="1" t="s">
        <v>225</v>
      </c>
      <c r="S141" s="2"/>
      <c r="T141" s="1">
        <v>124</v>
      </c>
      <c r="U141" s="1">
        <v>141</v>
      </c>
      <c r="V141" s="1">
        <v>192</v>
      </c>
      <c r="W141" s="1">
        <v>156</v>
      </c>
      <c r="X141" s="1">
        <v>221</v>
      </c>
      <c r="Y141" s="1">
        <v>201</v>
      </c>
      <c r="Z141" s="1">
        <v>157</v>
      </c>
      <c r="AA141" s="1">
        <v>135</v>
      </c>
      <c r="AB141" s="1">
        <v>159</v>
      </c>
      <c r="AE141" s="1" t="s">
        <v>77</v>
      </c>
      <c r="AF141" s="12">
        <v>159</v>
      </c>
      <c r="AG141" s="12">
        <v>101</v>
      </c>
      <c r="AH141" s="12">
        <v>58</v>
      </c>
      <c r="AI141" s="13">
        <v>41.392405063291136</v>
      </c>
      <c r="AJ141" s="13">
        <v>68</v>
      </c>
      <c r="AK141" s="13">
        <v>25</v>
      </c>
      <c r="AL141" s="13">
        <v>10.04374853452074</v>
      </c>
      <c r="AM141" s="14">
        <v>88</v>
      </c>
      <c r="AN141" s="14">
        <v>88</v>
      </c>
      <c r="AO141" s="3">
        <f t="shared" si="20"/>
        <v>1</v>
      </c>
      <c r="AP141" s="14">
        <v>16</v>
      </c>
      <c r="AQ141" s="14">
        <v>143</v>
      </c>
      <c r="AR141" s="3">
        <f t="shared" si="17"/>
        <v>0.11188811188811189</v>
      </c>
      <c r="AS141" s="1">
        <v>13</v>
      </c>
      <c r="AT141" s="1">
        <v>7</v>
      </c>
      <c r="AU141" s="1">
        <v>18</v>
      </c>
      <c r="AV141" s="1">
        <v>50</v>
      </c>
      <c r="AW141" s="1">
        <v>0</v>
      </c>
      <c r="AX141" s="1">
        <v>24</v>
      </c>
      <c r="AY141" s="1">
        <v>47</v>
      </c>
      <c r="AZ141" s="1">
        <f t="shared" si="1"/>
        <v>159</v>
      </c>
    </row>
    <row r="142" spans="1:52" ht="15.75" customHeight="1" x14ac:dyDescent="0.3">
      <c r="A142" s="1" t="s">
        <v>507</v>
      </c>
      <c r="B142" s="2" t="s">
        <v>574</v>
      </c>
      <c r="C142" s="2">
        <v>260000037</v>
      </c>
      <c r="D142" s="1" t="s">
        <v>509</v>
      </c>
      <c r="E142" s="1" t="s">
        <v>510</v>
      </c>
      <c r="F142" s="1" t="s">
        <v>67</v>
      </c>
      <c r="G142" s="1" t="s">
        <v>68</v>
      </c>
      <c r="H142" s="1" t="s">
        <v>69</v>
      </c>
      <c r="I142" s="1" t="s">
        <v>70</v>
      </c>
      <c r="J142" s="1" t="s">
        <v>511</v>
      </c>
      <c r="K142" s="1">
        <v>6</v>
      </c>
      <c r="L142" s="1" t="s">
        <v>512</v>
      </c>
      <c r="M142" s="1" t="s">
        <v>490</v>
      </c>
      <c r="N142" s="1" t="s">
        <v>491</v>
      </c>
      <c r="O142" s="1" t="s">
        <v>108</v>
      </c>
      <c r="P142" s="1" t="s">
        <v>9</v>
      </c>
      <c r="Q142" s="1" t="s">
        <v>80</v>
      </c>
      <c r="R142" s="1" t="s">
        <v>109</v>
      </c>
      <c r="S142" s="2"/>
      <c r="AD142" s="1">
        <v>28</v>
      </c>
      <c r="AE142" s="1" t="s">
        <v>138</v>
      </c>
      <c r="AF142" s="12">
        <v>56</v>
      </c>
      <c r="AG142" s="12">
        <v>18</v>
      </c>
      <c r="AH142" s="12">
        <v>38</v>
      </c>
      <c r="AI142" s="12">
        <v>41.42307692307692</v>
      </c>
      <c r="AJ142" s="12">
        <v>60</v>
      </c>
      <c r="AK142" s="12">
        <v>27</v>
      </c>
      <c r="AL142" s="12">
        <v>8.1801916508690251</v>
      </c>
      <c r="AM142" s="14">
        <v>45</v>
      </c>
      <c r="AN142" s="14">
        <v>40</v>
      </c>
      <c r="AO142" s="3">
        <f t="shared" si="20"/>
        <v>0.88888888888888884</v>
      </c>
      <c r="AP142" s="14">
        <v>0</v>
      </c>
      <c r="AQ142" s="14">
        <v>56</v>
      </c>
      <c r="AR142" s="3">
        <f t="shared" si="17"/>
        <v>0</v>
      </c>
      <c r="AZ142" s="1">
        <f t="shared" si="1"/>
        <v>0</v>
      </c>
    </row>
    <row r="143" spans="1:52" ht="15.75" customHeight="1" x14ac:dyDescent="0.3">
      <c r="A143" s="1" t="s">
        <v>575</v>
      </c>
      <c r="B143" s="2" t="s">
        <v>576</v>
      </c>
      <c r="C143" s="2">
        <v>260000039</v>
      </c>
      <c r="D143" s="1" t="s">
        <v>544</v>
      </c>
      <c r="E143" s="1" t="s">
        <v>545</v>
      </c>
      <c r="F143" s="1" t="s">
        <v>67</v>
      </c>
      <c r="G143" s="1" t="s">
        <v>68</v>
      </c>
      <c r="H143" s="1" t="s">
        <v>69</v>
      </c>
      <c r="I143" s="1" t="s">
        <v>70</v>
      </c>
      <c r="J143" s="1" t="s">
        <v>98</v>
      </c>
      <c r="K143" s="1">
        <v>6</v>
      </c>
      <c r="L143" s="1" t="s">
        <v>546</v>
      </c>
      <c r="M143" s="1" t="s">
        <v>107</v>
      </c>
      <c r="N143" s="1" t="s">
        <v>106</v>
      </c>
      <c r="O143" s="1" t="s">
        <v>108</v>
      </c>
      <c r="P143" s="1" t="s">
        <v>9</v>
      </c>
      <c r="Q143" s="1" t="s">
        <v>80</v>
      </c>
      <c r="R143" s="1" t="s">
        <v>168</v>
      </c>
      <c r="S143" s="2"/>
      <c r="T143" s="1">
        <v>44</v>
      </c>
      <c r="U143" s="1">
        <v>67</v>
      </c>
      <c r="V143" s="1">
        <v>56</v>
      </c>
      <c r="W143" s="1">
        <v>76</v>
      </c>
      <c r="X143" s="1">
        <v>33</v>
      </c>
      <c r="Y143" s="1">
        <v>50</v>
      </c>
      <c r="Z143" s="1">
        <v>16</v>
      </c>
      <c r="AA143" s="1">
        <v>16</v>
      </c>
      <c r="AC143" s="1">
        <v>76</v>
      </c>
      <c r="AD143" s="1">
        <v>49</v>
      </c>
      <c r="AE143" s="1" t="s">
        <v>93</v>
      </c>
      <c r="AF143" s="15">
        <v>152</v>
      </c>
      <c r="AG143" s="15">
        <v>66</v>
      </c>
      <c r="AH143" s="15">
        <v>86</v>
      </c>
      <c r="AI143" s="13">
        <v>41.618421052631582</v>
      </c>
      <c r="AJ143" s="13">
        <v>63</v>
      </c>
      <c r="AK143" s="13">
        <v>63</v>
      </c>
      <c r="AL143" s="13">
        <v>26</v>
      </c>
      <c r="AM143" s="14">
        <v>44</v>
      </c>
      <c r="AN143" s="14">
        <v>44</v>
      </c>
      <c r="AO143" s="3">
        <f t="shared" si="20"/>
        <v>1</v>
      </c>
      <c r="AP143" s="14">
        <v>0</v>
      </c>
      <c r="AQ143" s="14">
        <v>152</v>
      </c>
      <c r="AR143" s="3">
        <f t="shared" si="17"/>
        <v>0</v>
      </c>
      <c r="AS143" s="1">
        <v>0</v>
      </c>
      <c r="AT143" s="1">
        <v>17</v>
      </c>
      <c r="AU143" s="1">
        <v>15</v>
      </c>
      <c r="AV143" s="1">
        <v>2</v>
      </c>
      <c r="AW143" s="1">
        <v>0</v>
      </c>
      <c r="AX143" s="1">
        <v>0</v>
      </c>
      <c r="AY143" s="1">
        <v>0</v>
      </c>
      <c r="AZ143" s="1">
        <f t="shared" si="1"/>
        <v>34</v>
      </c>
    </row>
    <row r="144" spans="1:52" ht="15.75" customHeight="1" x14ac:dyDescent="0.3">
      <c r="A144" s="1" t="s">
        <v>577</v>
      </c>
      <c r="B144" s="2" t="s">
        <v>578</v>
      </c>
      <c r="C144" s="2">
        <v>160000023</v>
      </c>
      <c r="D144" s="1" t="s">
        <v>504</v>
      </c>
      <c r="E144" s="1" t="s">
        <v>505</v>
      </c>
      <c r="F144" s="1" t="s">
        <v>67</v>
      </c>
      <c r="G144" s="1" t="s">
        <v>86</v>
      </c>
      <c r="H144" s="1" t="s">
        <v>87</v>
      </c>
      <c r="I144" s="1" t="s">
        <v>70</v>
      </c>
      <c r="J144" s="1" t="s">
        <v>460</v>
      </c>
      <c r="K144" s="1">
        <v>6</v>
      </c>
      <c r="L144" s="1" t="s">
        <v>506</v>
      </c>
      <c r="M144" s="1" t="s">
        <v>475</v>
      </c>
      <c r="N144" s="1" t="s">
        <v>476</v>
      </c>
      <c r="O144" s="1" t="s">
        <v>108</v>
      </c>
      <c r="P144" s="1" t="s">
        <v>9</v>
      </c>
      <c r="Q144" s="1" t="s">
        <v>80</v>
      </c>
      <c r="R144" s="1" t="s">
        <v>335</v>
      </c>
      <c r="S144" s="2"/>
      <c r="T144" s="1">
        <v>120</v>
      </c>
      <c r="U144" s="1">
        <v>113</v>
      </c>
      <c r="V144" s="1">
        <v>167</v>
      </c>
      <c r="W144" s="1">
        <v>153</v>
      </c>
      <c r="AB144" s="1">
        <v>66</v>
      </c>
      <c r="AE144" s="1" t="s">
        <v>77</v>
      </c>
      <c r="AF144" s="12">
        <v>66</v>
      </c>
      <c r="AG144" s="12">
        <v>35</v>
      </c>
      <c r="AH144" s="12">
        <v>31</v>
      </c>
      <c r="AI144" s="13">
        <v>41.81818181818182</v>
      </c>
      <c r="AJ144" s="13">
        <v>58</v>
      </c>
      <c r="AK144" s="13">
        <v>26</v>
      </c>
      <c r="AL144" s="13">
        <v>8.4796754127086142</v>
      </c>
      <c r="AM144" s="14">
        <v>110</v>
      </c>
      <c r="AN144" s="14">
        <v>110</v>
      </c>
      <c r="AO144" s="3">
        <f t="shared" si="20"/>
        <v>1</v>
      </c>
      <c r="AP144" s="14">
        <v>0</v>
      </c>
      <c r="AQ144" s="14">
        <v>66</v>
      </c>
      <c r="AR144" s="3">
        <f t="shared" si="17"/>
        <v>0</v>
      </c>
      <c r="AZ144" s="1">
        <f t="shared" si="1"/>
        <v>0</v>
      </c>
    </row>
    <row r="145" spans="1:52" ht="15.75" customHeight="1" x14ac:dyDescent="0.3">
      <c r="A145" s="1" t="s">
        <v>579</v>
      </c>
      <c r="B145" s="2" t="s">
        <v>580</v>
      </c>
      <c r="C145" s="2">
        <v>160000042</v>
      </c>
      <c r="D145" s="1" t="s">
        <v>458</v>
      </c>
      <c r="E145" s="1" t="s">
        <v>459</v>
      </c>
      <c r="F145" s="1" t="s">
        <v>67</v>
      </c>
      <c r="G145" s="1" t="s">
        <v>86</v>
      </c>
      <c r="H145" s="1" t="s">
        <v>87</v>
      </c>
      <c r="I145" s="1" t="s">
        <v>70</v>
      </c>
      <c r="J145" s="1" t="s">
        <v>460</v>
      </c>
      <c r="K145" s="1">
        <v>6</v>
      </c>
      <c r="L145" s="1" t="s">
        <v>461</v>
      </c>
      <c r="M145" s="1" t="s">
        <v>462</v>
      </c>
      <c r="N145" s="1" t="s">
        <v>463</v>
      </c>
      <c r="O145" s="1" t="s">
        <v>150</v>
      </c>
      <c r="P145" s="1" t="s">
        <v>9</v>
      </c>
      <c r="Q145" s="1" t="s">
        <v>195</v>
      </c>
      <c r="R145" s="1" t="s">
        <v>581</v>
      </c>
      <c r="S145" s="2">
        <v>2023</v>
      </c>
      <c r="T145" s="1">
        <v>9</v>
      </c>
      <c r="U145" s="1">
        <v>11</v>
      </c>
      <c r="AE145" s="1" t="s">
        <v>110</v>
      </c>
      <c r="AF145" s="12">
        <v>18</v>
      </c>
      <c r="AG145" s="12">
        <v>2</v>
      </c>
      <c r="AH145" s="12">
        <v>16</v>
      </c>
      <c r="AI145" s="12">
        <v>42.333333333333336</v>
      </c>
      <c r="AJ145" s="12">
        <v>61</v>
      </c>
      <c r="AK145" s="12">
        <v>31</v>
      </c>
      <c r="AL145" s="12">
        <v>9.6161628644326793</v>
      </c>
      <c r="AM145" s="14"/>
      <c r="AN145" s="14"/>
      <c r="AO145" s="3"/>
      <c r="AP145" s="14">
        <v>0</v>
      </c>
      <c r="AQ145" s="14">
        <v>18</v>
      </c>
      <c r="AR145" s="3">
        <f t="shared" si="17"/>
        <v>0</v>
      </c>
      <c r="AZ145" s="1">
        <f t="shared" si="1"/>
        <v>0</v>
      </c>
    </row>
    <row r="146" spans="1:52" ht="15.75" customHeight="1" x14ac:dyDescent="0.3">
      <c r="A146" s="1" t="s">
        <v>582</v>
      </c>
      <c r="B146" s="2" t="s">
        <v>583</v>
      </c>
      <c r="C146" s="2">
        <v>260000052</v>
      </c>
      <c r="D146" s="1" t="s">
        <v>569</v>
      </c>
      <c r="E146" s="1" t="s">
        <v>570</v>
      </c>
      <c r="F146" s="1" t="s">
        <v>67</v>
      </c>
      <c r="G146" s="1" t="s">
        <v>68</v>
      </c>
      <c r="H146" s="1" t="s">
        <v>439</v>
      </c>
      <c r="I146" s="1" t="s">
        <v>70</v>
      </c>
      <c r="J146" s="1" t="s">
        <v>460</v>
      </c>
      <c r="K146" s="1">
        <v>6</v>
      </c>
      <c r="L146" s="1" t="s">
        <v>571</v>
      </c>
      <c r="M146" s="1" t="s">
        <v>572</v>
      </c>
      <c r="N146" s="1" t="s">
        <v>573</v>
      </c>
      <c r="O146" s="1" t="s">
        <v>150</v>
      </c>
      <c r="P146" s="1" t="s">
        <v>9</v>
      </c>
      <c r="Q146" s="1" t="s">
        <v>80</v>
      </c>
      <c r="R146" s="1" t="s">
        <v>109</v>
      </c>
      <c r="S146" s="2"/>
      <c r="T146" s="1">
        <v>204</v>
      </c>
      <c r="U146" s="1">
        <v>227</v>
      </c>
      <c r="V146" s="1">
        <v>335</v>
      </c>
      <c r="W146" s="1">
        <v>336</v>
      </c>
      <c r="X146" s="1">
        <v>342</v>
      </c>
      <c r="Y146" s="1">
        <v>308</v>
      </c>
      <c r="Z146" s="1">
        <v>277</v>
      </c>
      <c r="AA146" s="1">
        <v>282</v>
      </c>
      <c r="AB146" s="1">
        <v>250</v>
      </c>
      <c r="AE146" s="1" t="s">
        <v>77</v>
      </c>
      <c r="AF146" s="12">
        <v>250</v>
      </c>
      <c r="AG146" s="12">
        <v>123</v>
      </c>
      <c r="AH146" s="12">
        <v>127</v>
      </c>
      <c r="AI146" s="13">
        <v>42.670682730923694</v>
      </c>
      <c r="AJ146" s="13">
        <v>69</v>
      </c>
      <c r="AK146" s="13">
        <v>25</v>
      </c>
      <c r="AL146" s="13">
        <v>10.618569398193758</v>
      </c>
      <c r="AM146" s="14">
        <v>144</v>
      </c>
      <c r="AN146" s="14">
        <v>128</v>
      </c>
      <c r="AO146" s="3">
        <f t="shared" ref="AO146:AO149" si="21">AN146/AM146</f>
        <v>0.88888888888888884</v>
      </c>
      <c r="AP146" s="14">
        <v>1</v>
      </c>
      <c r="AQ146" s="14">
        <v>249</v>
      </c>
      <c r="AR146" s="3">
        <f t="shared" si="17"/>
        <v>4.0160642570281121E-3</v>
      </c>
      <c r="AS146" s="1">
        <v>30</v>
      </c>
      <c r="AT146" s="1">
        <v>31</v>
      </c>
      <c r="AU146" s="1">
        <v>34</v>
      </c>
      <c r="AV146" s="1">
        <v>79</v>
      </c>
      <c r="AW146" s="1">
        <v>0</v>
      </c>
      <c r="AX146" s="1">
        <v>44</v>
      </c>
      <c r="AY146" s="1">
        <v>50</v>
      </c>
      <c r="AZ146" s="1">
        <f t="shared" si="1"/>
        <v>268</v>
      </c>
    </row>
    <row r="147" spans="1:52" ht="15.75" customHeight="1" x14ac:dyDescent="0.3">
      <c r="A147" s="1" t="s">
        <v>584</v>
      </c>
      <c r="B147" s="2" t="s">
        <v>585</v>
      </c>
      <c r="C147" s="2">
        <v>160000032</v>
      </c>
      <c r="D147" s="1" t="s">
        <v>480</v>
      </c>
      <c r="E147" s="1" t="s">
        <v>481</v>
      </c>
      <c r="F147" s="1" t="s">
        <v>67</v>
      </c>
      <c r="G147" s="1" t="s">
        <v>86</v>
      </c>
      <c r="H147" s="1" t="s">
        <v>87</v>
      </c>
      <c r="I147" s="1" t="s">
        <v>70</v>
      </c>
      <c r="J147" s="1" t="s">
        <v>440</v>
      </c>
      <c r="K147" s="1">
        <v>6</v>
      </c>
      <c r="L147" s="1" t="s">
        <v>482</v>
      </c>
      <c r="M147" s="1" t="s">
        <v>483</v>
      </c>
      <c r="N147" s="1" t="s">
        <v>482</v>
      </c>
      <c r="O147" s="1" t="s">
        <v>150</v>
      </c>
      <c r="P147" s="1" t="s">
        <v>9</v>
      </c>
      <c r="Q147" s="1" t="s">
        <v>80</v>
      </c>
      <c r="R147" s="1" t="s">
        <v>534</v>
      </c>
      <c r="S147" s="2"/>
      <c r="T147" s="1">
        <v>37</v>
      </c>
      <c r="U147" s="1">
        <v>35</v>
      </c>
      <c r="AE147" s="1" t="s">
        <v>110</v>
      </c>
      <c r="AF147" s="12">
        <v>74</v>
      </c>
      <c r="AG147" s="12">
        <v>48</v>
      </c>
      <c r="AH147" s="12">
        <v>26</v>
      </c>
      <c r="AI147" s="12">
        <v>42.675675675675677</v>
      </c>
      <c r="AJ147" s="12">
        <v>62</v>
      </c>
      <c r="AK147" s="12">
        <v>24</v>
      </c>
      <c r="AL147" s="12">
        <v>8.635873107667166</v>
      </c>
      <c r="AM147" s="14">
        <v>28</v>
      </c>
      <c r="AN147" s="14">
        <v>28</v>
      </c>
      <c r="AO147" s="3">
        <f t="shared" si="21"/>
        <v>1</v>
      </c>
      <c r="AP147" s="14">
        <v>0</v>
      </c>
      <c r="AQ147" s="14">
        <v>74</v>
      </c>
      <c r="AR147" s="3">
        <f t="shared" si="17"/>
        <v>0</v>
      </c>
      <c r="AZ147" s="1">
        <f t="shared" si="1"/>
        <v>0</v>
      </c>
    </row>
    <row r="148" spans="1:52" ht="15.75" customHeight="1" x14ac:dyDescent="0.3">
      <c r="A148" s="1" t="s">
        <v>586</v>
      </c>
      <c r="B148" s="2" t="s">
        <v>587</v>
      </c>
      <c r="C148" s="2">
        <v>160000010</v>
      </c>
      <c r="D148" s="1" t="s">
        <v>487</v>
      </c>
      <c r="E148" s="1" t="s">
        <v>488</v>
      </c>
      <c r="F148" s="1" t="s">
        <v>67</v>
      </c>
      <c r="G148" s="1" t="s">
        <v>86</v>
      </c>
      <c r="H148" s="1" t="s">
        <v>87</v>
      </c>
      <c r="I148" s="1" t="s">
        <v>70</v>
      </c>
      <c r="J148" s="1" t="s">
        <v>460</v>
      </c>
      <c r="K148" s="1">
        <v>6</v>
      </c>
      <c r="L148" s="1" t="s">
        <v>489</v>
      </c>
      <c r="M148" s="1" t="s">
        <v>490</v>
      </c>
      <c r="N148" s="1" t="s">
        <v>491</v>
      </c>
      <c r="O148" s="1" t="s">
        <v>108</v>
      </c>
      <c r="P148" s="1" t="s">
        <v>9</v>
      </c>
      <c r="Q148" s="1" t="s">
        <v>90</v>
      </c>
      <c r="R148" s="1" t="s">
        <v>395</v>
      </c>
      <c r="S148" s="2"/>
      <c r="T148" s="1">
        <v>14</v>
      </c>
      <c r="U148" s="1">
        <v>14</v>
      </c>
      <c r="AE148" s="1" t="s">
        <v>110</v>
      </c>
      <c r="AF148" s="12">
        <v>28</v>
      </c>
      <c r="AG148" s="12">
        <v>2</v>
      </c>
      <c r="AH148" s="12">
        <v>26</v>
      </c>
      <c r="AI148" s="12">
        <v>42.714285714285715</v>
      </c>
      <c r="AJ148" s="12">
        <v>53</v>
      </c>
      <c r="AK148" s="12">
        <v>31</v>
      </c>
      <c r="AL148" s="12">
        <v>5.3669574997602405</v>
      </c>
      <c r="AM148" s="14">
        <v>8</v>
      </c>
      <c r="AN148" s="14">
        <v>8</v>
      </c>
      <c r="AO148" s="3">
        <f t="shared" si="21"/>
        <v>1</v>
      </c>
      <c r="AP148" s="14">
        <v>0</v>
      </c>
      <c r="AQ148" s="14">
        <v>28</v>
      </c>
      <c r="AR148" s="3">
        <f t="shared" si="17"/>
        <v>0</v>
      </c>
      <c r="AZ148" s="1">
        <f t="shared" si="1"/>
        <v>0</v>
      </c>
    </row>
    <row r="149" spans="1:52" ht="15.75" customHeight="1" x14ac:dyDescent="0.3">
      <c r="A149" s="1" t="s">
        <v>588</v>
      </c>
      <c r="B149" s="2" t="s">
        <v>589</v>
      </c>
      <c r="C149" s="2">
        <v>260000039</v>
      </c>
      <c r="D149" s="1" t="s">
        <v>544</v>
      </c>
      <c r="E149" s="1" t="s">
        <v>545</v>
      </c>
      <c r="F149" s="1" t="s">
        <v>67</v>
      </c>
      <c r="G149" s="1" t="s">
        <v>68</v>
      </c>
      <c r="H149" s="1" t="s">
        <v>69</v>
      </c>
      <c r="I149" s="1" t="s">
        <v>70</v>
      </c>
      <c r="J149" s="1" t="s">
        <v>98</v>
      </c>
      <c r="K149" s="1">
        <v>6</v>
      </c>
      <c r="L149" s="1" t="s">
        <v>546</v>
      </c>
      <c r="M149" s="1" t="s">
        <v>107</v>
      </c>
      <c r="N149" s="1" t="s">
        <v>106</v>
      </c>
      <c r="O149" s="1" t="s">
        <v>108</v>
      </c>
      <c r="P149" s="1" t="s">
        <v>9</v>
      </c>
      <c r="Q149" s="1" t="s">
        <v>90</v>
      </c>
      <c r="R149" s="1" t="s">
        <v>516</v>
      </c>
      <c r="S149" s="2"/>
      <c r="T149" s="1">
        <v>110</v>
      </c>
      <c r="U149" s="1">
        <v>149</v>
      </c>
      <c r="V149" s="1">
        <v>79</v>
      </c>
      <c r="W149" s="1">
        <v>84</v>
      </c>
      <c r="X149" s="1">
        <v>31</v>
      </c>
      <c r="Y149" s="1">
        <v>37</v>
      </c>
      <c r="Z149" s="1">
        <v>16</v>
      </c>
      <c r="AA149" s="1">
        <v>38</v>
      </c>
      <c r="AC149" s="1">
        <v>79</v>
      </c>
      <c r="AD149" s="1">
        <v>39</v>
      </c>
      <c r="AE149" s="1" t="s">
        <v>93</v>
      </c>
      <c r="AF149" s="15">
        <v>158</v>
      </c>
      <c r="AG149" s="15">
        <v>68</v>
      </c>
      <c r="AH149" s="15">
        <v>90</v>
      </c>
      <c r="AI149" s="13">
        <v>42.746835443037973</v>
      </c>
      <c r="AJ149" s="13">
        <v>65</v>
      </c>
      <c r="AK149" s="13">
        <v>65</v>
      </c>
      <c r="AL149" s="13">
        <v>29</v>
      </c>
      <c r="AM149" s="14">
        <v>26</v>
      </c>
      <c r="AN149" s="14">
        <v>26</v>
      </c>
      <c r="AO149" s="3">
        <f t="shared" si="21"/>
        <v>1</v>
      </c>
      <c r="AP149" s="14">
        <v>0</v>
      </c>
      <c r="AQ149" s="14">
        <v>158</v>
      </c>
      <c r="AR149" s="3">
        <f t="shared" si="17"/>
        <v>0</v>
      </c>
      <c r="AS149" s="1">
        <v>11</v>
      </c>
      <c r="AT149" s="1">
        <v>19</v>
      </c>
      <c r="AU149" s="1">
        <v>3</v>
      </c>
      <c r="AV149" s="1">
        <v>0</v>
      </c>
      <c r="AW149" s="1">
        <v>0</v>
      </c>
      <c r="AX149" s="1">
        <v>1</v>
      </c>
      <c r="AY149" s="1">
        <v>10</v>
      </c>
      <c r="AZ149" s="1">
        <f t="shared" si="1"/>
        <v>44</v>
      </c>
    </row>
    <row r="150" spans="1:52" ht="15.75" customHeight="1" x14ac:dyDescent="0.3">
      <c r="A150" s="1" t="s">
        <v>590</v>
      </c>
      <c r="B150" s="2" t="s">
        <v>591</v>
      </c>
      <c r="C150" s="2">
        <v>160000042</v>
      </c>
      <c r="D150" s="1" t="s">
        <v>458</v>
      </c>
      <c r="E150" s="1" t="s">
        <v>459</v>
      </c>
      <c r="F150" s="1" t="s">
        <v>67</v>
      </c>
      <c r="G150" s="1" t="s">
        <v>86</v>
      </c>
      <c r="H150" s="1" t="s">
        <v>87</v>
      </c>
      <c r="I150" s="1" t="s">
        <v>70</v>
      </c>
      <c r="J150" s="1" t="s">
        <v>460</v>
      </c>
      <c r="K150" s="1">
        <v>6</v>
      </c>
      <c r="L150" s="1" t="s">
        <v>461</v>
      </c>
      <c r="M150" s="1" t="s">
        <v>462</v>
      </c>
      <c r="N150" s="1" t="s">
        <v>463</v>
      </c>
      <c r="O150" s="1" t="s">
        <v>150</v>
      </c>
      <c r="P150" s="1" t="s">
        <v>9</v>
      </c>
      <c r="Q150" s="1" t="s">
        <v>90</v>
      </c>
      <c r="R150" s="1" t="s">
        <v>592</v>
      </c>
      <c r="S150" s="2"/>
      <c r="T150" s="1">
        <v>4</v>
      </c>
      <c r="U150" s="1">
        <v>2</v>
      </c>
      <c r="AE150" s="1" t="s">
        <v>110</v>
      </c>
      <c r="AF150" s="12">
        <v>8</v>
      </c>
      <c r="AG150" s="12">
        <v>2</v>
      </c>
      <c r="AH150" s="12">
        <v>6</v>
      </c>
      <c r="AI150" s="12">
        <v>42.75</v>
      </c>
      <c r="AJ150" s="12">
        <v>56</v>
      </c>
      <c r="AK150" s="12">
        <v>34</v>
      </c>
      <c r="AL150" s="12">
        <v>8.7300793647186108</v>
      </c>
      <c r="AM150" s="14"/>
      <c r="AN150" s="14"/>
      <c r="AO150" s="3"/>
      <c r="AP150" s="14">
        <v>0</v>
      </c>
      <c r="AQ150" s="14">
        <v>8</v>
      </c>
      <c r="AR150" s="3">
        <f t="shared" si="17"/>
        <v>0</v>
      </c>
      <c r="AZ150" s="1">
        <f t="shared" si="1"/>
        <v>0</v>
      </c>
    </row>
    <row r="151" spans="1:52" ht="15.75" customHeight="1" x14ac:dyDescent="0.3">
      <c r="A151" s="1" t="s">
        <v>593</v>
      </c>
      <c r="B151" s="2" t="s">
        <v>594</v>
      </c>
      <c r="C151" s="2">
        <v>160000027</v>
      </c>
      <c r="D151" s="1" t="s">
        <v>522</v>
      </c>
      <c r="E151" s="1" t="s">
        <v>523</v>
      </c>
      <c r="F151" s="1" t="s">
        <v>67</v>
      </c>
      <c r="G151" s="1" t="s">
        <v>86</v>
      </c>
      <c r="H151" s="1" t="s">
        <v>87</v>
      </c>
      <c r="I151" s="1" t="s">
        <v>70</v>
      </c>
      <c r="J151" s="1" t="s">
        <v>460</v>
      </c>
      <c r="K151" s="1">
        <v>6</v>
      </c>
      <c r="L151" s="1" t="s">
        <v>524</v>
      </c>
      <c r="M151" s="1" t="s">
        <v>525</v>
      </c>
      <c r="N151" s="1" t="s">
        <v>526</v>
      </c>
      <c r="O151" s="1" t="s">
        <v>74</v>
      </c>
      <c r="P151" s="1" t="s">
        <v>9</v>
      </c>
      <c r="Q151" s="1" t="s">
        <v>80</v>
      </c>
      <c r="R151" s="1" t="s">
        <v>312</v>
      </c>
      <c r="S151" s="2"/>
      <c r="T151" s="1">
        <v>38</v>
      </c>
      <c r="U151" s="1">
        <v>17</v>
      </c>
      <c r="V151" s="1">
        <v>58</v>
      </c>
      <c r="W151" s="1">
        <v>82</v>
      </c>
      <c r="X151" s="1">
        <v>85</v>
      </c>
      <c r="Y151" s="1">
        <v>97</v>
      </c>
      <c r="Z151" s="1">
        <v>101</v>
      </c>
      <c r="AB151" s="1">
        <v>89</v>
      </c>
      <c r="AC151" s="1">
        <v>70</v>
      </c>
      <c r="AD151" s="1">
        <v>71</v>
      </c>
      <c r="AE151" s="1" t="s">
        <v>77</v>
      </c>
      <c r="AF151" s="12">
        <v>89</v>
      </c>
      <c r="AG151" s="12">
        <v>60</v>
      </c>
      <c r="AH151" s="12">
        <v>29</v>
      </c>
      <c r="AI151" s="13">
        <v>42.820224719101127</v>
      </c>
      <c r="AJ151" s="13">
        <v>66</v>
      </c>
      <c r="AK151" s="13">
        <v>25</v>
      </c>
      <c r="AL151" s="13">
        <v>9.9356586890498075</v>
      </c>
      <c r="AM151" s="14">
        <v>30</v>
      </c>
      <c r="AN151" s="14">
        <v>30</v>
      </c>
      <c r="AO151" s="3">
        <f>AN151/AM151</f>
        <v>1</v>
      </c>
      <c r="AP151" s="14">
        <v>0</v>
      </c>
      <c r="AQ151" s="14">
        <v>89</v>
      </c>
      <c r="AR151" s="3">
        <f t="shared" si="17"/>
        <v>0</v>
      </c>
      <c r="AS151" s="1">
        <v>2</v>
      </c>
      <c r="AT151" s="1">
        <v>0</v>
      </c>
      <c r="AU151" s="1">
        <v>8</v>
      </c>
      <c r="AV151" s="1">
        <v>3</v>
      </c>
      <c r="AW151" s="1">
        <v>0</v>
      </c>
      <c r="AX151" s="1">
        <v>14</v>
      </c>
      <c r="AY151" s="1">
        <v>7</v>
      </c>
      <c r="AZ151" s="1">
        <f t="shared" si="1"/>
        <v>34</v>
      </c>
    </row>
    <row r="152" spans="1:52" ht="15.75" customHeight="1" x14ac:dyDescent="0.3">
      <c r="A152" s="1" t="s">
        <v>595</v>
      </c>
      <c r="B152" s="2" t="s">
        <v>596</v>
      </c>
      <c r="C152" s="2">
        <v>260000052</v>
      </c>
      <c r="D152" s="1" t="s">
        <v>569</v>
      </c>
      <c r="E152" s="1" t="s">
        <v>570</v>
      </c>
      <c r="F152" s="1" t="s">
        <v>67</v>
      </c>
      <c r="G152" s="1" t="s">
        <v>68</v>
      </c>
      <c r="H152" s="1" t="s">
        <v>439</v>
      </c>
      <c r="I152" s="1" t="s">
        <v>70</v>
      </c>
      <c r="J152" s="1" t="s">
        <v>460</v>
      </c>
      <c r="K152" s="1">
        <v>6</v>
      </c>
      <c r="L152" s="1" t="s">
        <v>571</v>
      </c>
      <c r="M152" s="1" t="s">
        <v>572</v>
      </c>
      <c r="N152" s="1" t="s">
        <v>573</v>
      </c>
      <c r="O152" s="1" t="s">
        <v>150</v>
      </c>
      <c r="P152" s="1" t="s">
        <v>9</v>
      </c>
      <c r="Q152" s="1" t="s">
        <v>80</v>
      </c>
      <c r="R152" s="1" t="s">
        <v>597</v>
      </c>
      <c r="S152" s="2"/>
      <c r="T152" s="1">
        <v>28</v>
      </c>
      <c r="U152" s="1">
        <v>28</v>
      </c>
      <c r="V152" s="1">
        <v>27</v>
      </c>
      <c r="W152" s="1">
        <v>27</v>
      </c>
      <c r="X152" s="1">
        <v>53</v>
      </c>
      <c r="Y152" s="1">
        <v>15</v>
      </c>
      <c r="Z152" s="1">
        <v>12</v>
      </c>
      <c r="AA152" s="1">
        <v>14</v>
      </c>
      <c r="AB152" s="1">
        <v>13</v>
      </c>
      <c r="AE152" s="1" t="s">
        <v>77</v>
      </c>
      <c r="AF152" s="12">
        <v>13</v>
      </c>
      <c r="AG152" s="12">
        <v>3</v>
      </c>
      <c r="AH152" s="12">
        <v>10</v>
      </c>
      <c r="AI152" s="13">
        <v>42.92307692307692</v>
      </c>
      <c r="AJ152" s="13">
        <v>65</v>
      </c>
      <c r="AK152" s="13">
        <v>34</v>
      </c>
      <c r="AL152" s="13">
        <v>9.8018836494279586</v>
      </c>
      <c r="AM152" s="14"/>
      <c r="AN152" s="14"/>
      <c r="AO152" s="3"/>
      <c r="AP152" s="14">
        <v>1</v>
      </c>
      <c r="AQ152" s="14">
        <v>12</v>
      </c>
      <c r="AR152" s="3">
        <f t="shared" si="17"/>
        <v>8.3333333333333329E-2</v>
      </c>
      <c r="AS152" s="1">
        <v>20</v>
      </c>
      <c r="AT152" s="1">
        <v>2</v>
      </c>
      <c r="AU152" s="1">
        <v>2</v>
      </c>
      <c r="AV152" s="1">
        <v>1</v>
      </c>
      <c r="AW152" s="1">
        <v>0</v>
      </c>
      <c r="AX152" s="1">
        <v>0</v>
      </c>
      <c r="AY152" s="1">
        <v>11</v>
      </c>
      <c r="AZ152" s="1">
        <f t="shared" si="1"/>
        <v>36</v>
      </c>
    </row>
    <row r="153" spans="1:52" ht="15.75" customHeight="1" x14ac:dyDescent="0.3">
      <c r="A153" s="1" t="s">
        <v>598</v>
      </c>
      <c r="B153" s="2" t="s">
        <v>599</v>
      </c>
      <c r="C153" s="2">
        <v>260000043</v>
      </c>
      <c r="D153" s="1" t="s">
        <v>498</v>
      </c>
      <c r="E153" s="1" t="s">
        <v>499</v>
      </c>
      <c r="F153" s="1" t="s">
        <v>67</v>
      </c>
      <c r="G153" s="1" t="s">
        <v>68</v>
      </c>
      <c r="H153" s="1" t="s">
        <v>69</v>
      </c>
      <c r="I153" s="1" t="s">
        <v>70</v>
      </c>
      <c r="J153" s="1" t="s">
        <v>98</v>
      </c>
      <c r="K153" s="1">
        <v>6</v>
      </c>
      <c r="L153" s="1" t="s">
        <v>500</v>
      </c>
      <c r="M153" s="1" t="s">
        <v>483</v>
      </c>
      <c r="N153" s="1" t="s">
        <v>482</v>
      </c>
      <c r="O153" s="1" t="s">
        <v>150</v>
      </c>
      <c r="P153" s="1" t="s">
        <v>9</v>
      </c>
      <c r="Q153" s="1" t="s">
        <v>80</v>
      </c>
      <c r="R153" s="1" t="s">
        <v>600</v>
      </c>
      <c r="S153" s="2"/>
      <c r="T153" s="1">
        <v>42</v>
      </c>
      <c r="U153" s="1">
        <v>38</v>
      </c>
      <c r="V153" s="1">
        <v>31</v>
      </c>
      <c r="AE153" s="1" t="s">
        <v>110</v>
      </c>
      <c r="AF153" s="12">
        <v>84</v>
      </c>
      <c r="AG153" s="12">
        <v>56</v>
      </c>
      <c r="AH153" s="12">
        <v>28</v>
      </c>
      <c r="AI153" s="12">
        <v>42.976190476190474</v>
      </c>
      <c r="AJ153" s="12">
        <v>61</v>
      </c>
      <c r="AK153" s="12">
        <v>25</v>
      </c>
      <c r="AL153" s="12">
        <v>10.663501753646807</v>
      </c>
      <c r="AM153" s="14">
        <v>19</v>
      </c>
      <c r="AN153" s="14">
        <v>18</v>
      </c>
      <c r="AO153" s="3">
        <f>AN153/AM153</f>
        <v>0.94736842105263153</v>
      </c>
      <c r="AP153" s="14">
        <v>0</v>
      </c>
      <c r="AQ153" s="14">
        <v>84</v>
      </c>
      <c r="AR153" s="3">
        <f t="shared" si="17"/>
        <v>0</v>
      </c>
      <c r="AS153" s="1">
        <v>15</v>
      </c>
      <c r="AT153" s="1">
        <v>12</v>
      </c>
      <c r="AU153" s="1">
        <v>0</v>
      </c>
      <c r="AV153" s="1">
        <v>8</v>
      </c>
      <c r="AW153" s="1">
        <v>0</v>
      </c>
      <c r="AX153" s="1">
        <v>0</v>
      </c>
      <c r="AY153" s="1">
        <v>0</v>
      </c>
      <c r="AZ153" s="1">
        <f t="shared" si="1"/>
        <v>35</v>
      </c>
    </row>
    <row r="154" spans="1:52" ht="15.75" customHeight="1" x14ac:dyDescent="0.3">
      <c r="A154" s="1" t="s">
        <v>601</v>
      </c>
      <c r="B154" s="2" t="s">
        <v>602</v>
      </c>
      <c r="C154" s="2">
        <v>260000043</v>
      </c>
      <c r="D154" s="1" t="s">
        <v>498</v>
      </c>
      <c r="E154" s="1" t="s">
        <v>499</v>
      </c>
      <c r="F154" s="1" t="s">
        <v>67</v>
      </c>
      <c r="G154" s="1" t="s">
        <v>68</v>
      </c>
      <c r="H154" s="1" t="s">
        <v>69</v>
      </c>
      <c r="I154" s="1" t="s">
        <v>70</v>
      </c>
      <c r="J154" s="1" t="s">
        <v>98</v>
      </c>
      <c r="K154" s="1">
        <v>6</v>
      </c>
      <c r="L154" s="1" t="s">
        <v>500</v>
      </c>
      <c r="M154" s="1" t="s">
        <v>483</v>
      </c>
      <c r="N154" s="1" t="s">
        <v>482</v>
      </c>
      <c r="O154" s="1" t="s">
        <v>150</v>
      </c>
      <c r="P154" s="1" t="s">
        <v>9</v>
      </c>
      <c r="Q154" s="1" t="s">
        <v>80</v>
      </c>
      <c r="R154" s="1" t="s">
        <v>192</v>
      </c>
      <c r="S154" s="2"/>
      <c r="T154" s="1">
        <v>55</v>
      </c>
      <c r="U154" s="1">
        <v>58</v>
      </c>
      <c r="V154" s="1">
        <v>62</v>
      </c>
      <c r="AE154" s="1" t="s">
        <v>110</v>
      </c>
      <c r="AF154" s="12">
        <v>110</v>
      </c>
      <c r="AG154" s="12">
        <v>40</v>
      </c>
      <c r="AH154" s="12">
        <v>70</v>
      </c>
      <c r="AI154" s="12">
        <v>43.113207547169814</v>
      </c>
      <c r="AJ154" s="12">
        <v>70</v>
      </c>
      <c r="AK154" s="12">
        <v>22</v>
      </c>
      <c r="AL154" s="12">
        <v>11.324916276126546</v>
      </c>
      <c r="AM154" s="14"/>
      <c r="AN154" s="14"/>
      <c r="AO154" s="3"/>
      <c r="AP154" s="14">
        <v>2</v>
      </c>
      <c r="AQ154" s="14">
        <v>108</v>
      </c>
      <c r="AR154" s="3">
        <f t="shared" si="17"/>
        <v>1.8518518518518517E-2</v>
      </c>
      <c r="AS154" s="1">
        <v>0</v>
      </c>
      <c r="AT154" s="1">
        <v>11</v>
      </c>
      <c r="AU154" s="1">
        <v>9</v>
      </c>
      <c r="AV154" s="1">
        <v>11</v>
      </c>
      <c r="AW154" s="1">
        <v>0</v>
      </c>
      <c r="AX154" s="1">
        <v>0</v>
      </c>
      <c r="AY154" s="1">
        <v>0</v>
      </c>
      <c r="AZ154" s="1">
        <f t="shared" si="1"/>
        <v>31</v>
      </c>
    </row>
    <row r="155" spans="1:52" ht="15.75" customHeight="1" x14ac:dyDescent="0.3">
      <c r="A155" s="1" t="s">
        <v>603</v>
      </c>
      <c r="B155" s="2" t="s">
        <v>604</v>
      </c>
      <c r="C155" s="2">
        <v>260000072</v>
      </c>
      <c r="D155" s="1" t="s">
        <v>605</v>
      </c>
      <c r="E155" s="1" t="s">
        <v>606</v>
      </c>
      <c r="F155" s="1" t="s">
        <v>67</v>
      </c>
      <c r="G155" s="1" t="s">
        <v>68</v>
      </c>
      <c r="H155" s="1" t="s">
        <v>439</v>
      </c>
      <c r="I155" s="1" t="s">
        <v>70</v>
      </c>
      <c r="J155" s="1" t="s">
        <v>511</v>
      </c>
      <c r="K155" s="1">
        <v>6</v>
      </c>
      <c r="L155" s="1" t="s">
        <v>607</v>
      </c>
      <c r="M155" s="1" t="s">
        <v>558</v>
      </c>
      <c r="N155" s="1" t="s">
        <v>560</v>
      </c>
      <c r="O155" s="1" t="s">
        <v>150</v>
      </c>
      <c r="P155" s="1" t="s">
        <v>9</v>
      </c>
      <c r="Q155" s="1" t="s">
        <v>80</v>
      </c>
      <c r="R155" s="1" t="s">
        <v>534</v>
      </c>
      <c r="S155" s="2"/>
      <c r="U155" s="1">
        <v>27</v>
      </c>
      <c r="V155" s="1">
        <v>27</v>
      </c>
      <c r="AE155" s="1" t="s">
        <v>175</v>
      </c>
      <c r="AF155" s="12">
        <v>54</v>
      </c>
      <c r="AG155" s="12">
        <v>30</v>
      </c>
      <c r="AH155" s="12">
        <v>24</v>
      </c>
      <c r="AI155" s="12">
        <v>43.230769230769234</v>
      </c>
      <c r="AJ155" s="12">
        <v>56</v>
      </c>
      <c r="AK155" s="12">
        <v>28</v>
      </c>
      <c r="AL155" s="12">
        <v>8.7146830899044172</v>
      </c>
      <c r="AM155" s="14"/>
      <c r="AN155" s="14"/>
      <c r="AO155" s="3"/>
      <c r="AP155" s="14">
        <v>0</v>
      </c>
      <c r="AQ155" s="14">
        <v>54</v>
      </c>
      <c r="AR155" s="3">
        <f t="shared" si="17"/>
        <v>0</v>
      </c>
      <c r="AZ155" s="1">
        <f t="shared" si="1"/>
        <v>0</v>
      </c>
    </row>
    <row r="156" spans="1:52" ht="15.75" customHeight="1" x14ac:dyDescent="0.3">
      <c r="A156" s="1" t="s">
        <v>608</v>
      </c>
      <c r="B156" s="2" t="s">
        <v>609</v>
      </c>
      <c r="C156" s="2">
        <v>160000028</v>
      </c>
      <c r="D156" s="1" t="s">
        <v>610</v>
      </c>
      <c r="E156" s="1" t="s">
        <v>611</v>
      </c>
      <c r="F156" s="1" t="s">
        <v>67</v>
      </c>
      <c r="G156" s="1" t="s">
        <v>86</v>
      </c>
      <c r="H156" s="1" t="s">
        <v>87</v>
      </c>
      <c r="I156" s="1" t="s">
        <v>70</v>
      </c>
      <c r="J156" s="1" t="s">
        <v>511</v>
      </c>
      <c r="K156" s="1">
        <v>6</v>
      </c>
      <c r="L156" s="1" t="s">
        <v>612</v>
      </c>
      <c r="M156" s="1" t="s">
        <v>613</v>
      </c>
      <c r="N156" s="1" t="s">
        <v>74</v>
      </c>
      <c r="O156" s="1" t="s">
        <v>74</v>
      </c>
      <c r="P156" s="1" t="s">
        <v>9</v>
      </c>
      <c r="Q156" s="1" t="s">
        <v>141</v>
      </c>
      <c r="R156" s="1" t="s">
        <v>614</v>
      </c>
      <c r="S156" s="2"/>
      <c r="T156" s="1">
        <v>14</v>
      </c>
      <c r="U156" s="1">
        <v>13</v>
      </c>
      <c r="AE156" s="1" t="s">
        <v>110</v>
      </c>
      <c r="AF156" s="12">
        <v>28</v>
      </c>
      <c r="AG156" s="12">
        <v>8</v>
      </c>
      <c r="AH156" s="12">
        <v>20</v>
      </c>
      <c r="AI156" s="12">
        <v>43.285714285714285</v>
      </c>
      <c r="AJ156" s="12">
        <v>68</v>
      </c>
      <c r="AK156" s="12">
        <v>27</v>
      </c>
      <c r="AL156" s="12">
        <v>12.2772211322497</v>
      </c>
      <c r="AM156" s="14"/>
      <c r="AN156" s="14"/>
      <c r="AO156" s="3"/>
      <c r="AP156" s="14">
        <v>0</v>
      </c>
      <c r="AQ156" s="14">
        <v>28</v>
      </c>
      <c r="AR156" s="3">
        <f t="shared" si="17"/>
        <v>0</v>
      </c>
      <c r="AS156" s="1">
        <v>10</v>
      </c>
      <c r="AT156" s="1">
        <v>1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f t="shared" si="1"/>
        <v>11</v>
      </c>
    </row>
    <row r="157" spans="1:52" ht="15.75" customHeight="1" x14ac:dyDescent="0.3">
      <c r="A157" s="1" t="s">
        <v>615</v>
      </c>
      <c r="B157" s="2" t="s">
        <v>616</v>
      </c>
      <c r="C157" s="2">
        <v>260000020</v>
      </c>
      <c r="D157" s="1" t="s">
        <v>617</v>
      </c>
      <c r="E157" s="1" t="s">
        <v>618</v>
      </c>
      <c r="F157" s="1" t="s">
        <v>67</v>
      </c>
      <c r="G157" s="1" t="s">
        <v>68</v>
      </c>
      <c r="H157" s="1" t="s">
        <v>69</v>
      </c>
      <c r="I157" s="1" t="s">
        <v>70</v>
      </c>
      <c r="J157" s="1" t="s">
        <v>619</v>
      </c>
      <c r="K157" s="1">
        <v>6</v>
      </c>
      <c r="L157" s="1" t="s">
        <v>132</v>
      </c>
      <c r="M157" s="1" t="s">
        <v>73</v>
      </c>
      <c r="N157" s="1" t="s">
        <v>74</v>
      </c>
      <c r="O157" s="1" t="s">
        <v>74</v>
      </c>
      <c r="P157" s="1" t="s">
        <v>9</v>
      </c>
      <c r="Q157" s="1" t="s">
        <v>80</v>
      </c>
      <c r="R157" s="1" t="s">
        <v>225</v>
      </c>
      <c r="S157" s="2"/>
      <c r="U157" s="1">
        <v>15</v>
      </c>
      <c r="V157" s="1">
        <v>21</v>
      </c>
      <c r="W157" s="1">
        <v>26</v>
      </c>
      <c r="X157" s="1">
        <v>26</v>
      </c>
      <c r="Y157" s="1">
        <v>31</v>
      </c>
      <c r="Z157" s="1">
        <v>20</v>
      </c>
      <c r="AA157" s="1">
        <v>24</v>
      </c>
      <c r="AB157" s="1">
        <v>31</v>
      </c>
      <c r="AC157" s="1">
        <v>27</v>
      </c>
      <c r="AD157" s="1">
        <v>25</v>
      </c>
      <c r="AE157" s="1" t="s">
        <v>77</v>
      </c>
      <c r="AF157" s="12">
        <v>31</v>
      </c>
      <c r="AG157" s="12">
        <v>25</v>
      </c>
      <c r="AH157" s="12">
        <v>6</v>
      </c>
      <c r="AI157" s="13">
        <v>43.41935483870968</v>
      </c>
      <c r="AJ157" s="13">
        <v>69</v>
      </c>
      <c r="AK157" s="13">
        <v>27</v>
      </c>
      <c r="AL157" s="13">
        <v>12.260435537528528</v>
      </c>
      <c r="AM157" s="14">
        <v>20</v>
      </c>
      <c r="AN157" s="14">
        <v>14</v>
      </c>
      <c r="AO157" s="3">
        <f t="shared" ref="AO157:AO162" si="22">AN157/AM157</f>
        <v>0.7</v>
      </c>
      <c r="AP157" s="14">
        <v>0</v>
      </c>
      <c r="AQ157" s="14">
        <v>31</v>
      </c>
      <c r="AR157" s="3">
        <f t="shared" si="17"/>
        <v>0</v>
      </c>
      <c r="AS157" s="1">
        <v>0</v>
      </c>
      <c r="AT157" s="1">
        <v>6</v>
      </c>
      <c r="AU157" s="1">
        <v>0</v>
      </c>
      <c r="AV157" s="1">
        <v>6</v>
      </c>
      <c r="AW157" s="1">
        <v>0</v>
      </c>
      <c r="AX157" s="1">
        <v>3</v>
      </c>
      <c r="AY157" s="1">
        <v>3</v>
      </c>
      <c r="AZ157" s="1">
        <f t="shared" si="1"/>
        <v>18</v>
      </c>
    </row>
    <row r="158" spans="1:52" ht="15.75" customHeight="1" x14ac:dyDescent="0.3">
      <c r="A158" s="1" t="s">
        <v>620</v>
      </c>
      <c r="B158" s="2" t="s">
        <v>621</v>
      </c>
      <c r="C158" s="2">
        <v>260000039</v>
      </c>
      <c r="D158" s="1" t="s">
        <v>544</v>
      </c>
      <c r="E158" s="1" t="s">
        <v>545</v>
      </c>
      <c r="F158" s="1" t="s">
        <v>67</v>
      </c>
      <c r="G158" s="1" t="s">
        <v>68</v>
      </c>
      <c r="H158" s="1" t="s">
        <v>69</v>
      </c>
      <c r="I158" s="1" t="s">
        <v>70</v>
      </c>
      <c r="J158" s="1" t="s">
        <v>98</v>
      </c>
      <c r="K158" s="1">
        <v>6</v>
      </c>
      <c r="L158" s="1" t="s">
        <v>546</v>
      </c>
      <c r="M158" s="1" t="s">
        <v>107</v>
      </c>
      <c r="N158" s="1" t="s">
        <v>106</v>
      </c>
      <c r="O158" s="1" t="s">
        <v>108</v>
      </c>
      <c r="P158" s="1" t="s">
        <v>9</v>
      </c>
      <c r="Q158" s="1" t="s">
        <v>80</v>
      </c>
      <c r="R158" s="1" t="s">
        <v>210</v>
      </c>
      <c r="S158" s="2"/>
      <c r="T158" s="1">
        <v>11</v>
      </c>
      <c r="U158" s="1">
        <v>1</v>
      </c>
      <c r="AC158" s="1">
        <v>37</v>
      </c>
      <c r="AD158" s="1">
        <v>16</v>
      </c>
      <c r="AE158" s="1" t="s">
        <v>93</v>
      </c>
      <c r="AF158" s="15">
        <v>74</v>
      </c>
      <c r="AG158" s="15">
        <v>46</v>
      </c>
      <c r="AH158" s="15">
        <v>28</v>
      </c>
      <c r="AI158" s="13">
        <v>43.45945945945946</v>
      </c>
      <c r="AJ158" s="13">
        <v>61</v>
      </c>
      <c r="AK158" s="13">
        <v>61</v>
      </c>
      <c r="AL158" s="13">
        <v>29</v>
      </c>
      <c r="AM158" s="14">
        <v>30</v>
      </c>
      <c r="AN158" s="14">
        <v>30</v>
      </c>
      <c r="AO158" s="3">
        <f t="shared" si="22"/>
        <v>1</v>
      </c>
      <c r="AP158" s="14">
        <v>0</v>
      </c>
      <c r="AQ158" s="14">
        <v>74</v>
      </c>
      <c r="AR158" s="3">
        <f t="shared" si="17"/>
        <v>0</v>
      </c>
      <c r="AZ158" s="1">
        <f t="shared" si="1"/>
        <v>0</v>
      </c>
    </row>
    <row r="159" spans="1:52" ht="15.75" customHeight="1" x14ac:dyDescent="0.3">
      <c r="A159" s="1" t="s">
        <v>622</v>
      </c>
      <c r="B159" s="2" t="s">
        <v>623</v>
      </c>
      <c r="C159" s="2">
        <v>160000023</v>
      </c>
      <c r="D159" s="1" t="s">
        <v>504</v>
      </c>
      <c r="E159" s="1" t="s">
        <v>505</v>
      </c>
      <c r="F159" s="1" t="s">
        <v>67</v>
      </c>
      <c r="G159" s="1" t="s">
        <v>86</v>
      </c>
      <c r="H159" s="1" t="s">
        <v>87</v>
      </c>
      <c r="I159" s="1" t="s">
        <v>70</v>
      </c>
      <c r="J159" s="1" t="s">
        <v>460</v>
      </c>
      <c r="K159" s="1">
        <v>6</v>
      </c>
      <c r="L159" s="1" t="s">
        <v>506</v>
      </c>
      <c r="M159" s="1" t="s">
        <v>475</v>
      </c>
      <c r="N159" s="1" t="s">
        <v>476</v>
      </c>
      <c r="O159" s="1" t="s">
        <v>108</v>
      </c>
      <c r="P159" s="1" t="s">
        <v>9</v>
      </c>
      <c r="Q159" s="1" t="s">
        <v>80</v>
      </c>
      <c r="R159" s="1" t="s">
        <v>624</v>
      </c>
      <c r="S159" s="2"/>
      <c r="T159" s="1">
        <v>30</v>
      </c>
      <c r="U159" s="1">
        <v>29</v>
      </c>
      <c r="V159" s="1">
        <v>60</v>
      </c>
      <c r="W159" s="1">
        <v>43</v>
      </c>
      <c r="Z159" s="1">
        <v>78</v>
      </c>
      <c r="AA159" s="1">
        <v>2</v>
      </c>
      <c r="AB159" s="1">
        <v>42</v>
      </c>
      <c r="AE159" s="1" t="s">
        <v>77</v>
      </c>
      <c r="AF159" s="12">
        <v>42</v>
      </c>
      <c r="AG159" s="12">
        <v>11</v>
      </c>
      <c r="AH159" s="12">
        <v>31</v>
      </c>
      <c r="AI159" s="13">
        <v>43.487804878048777</v>
      </c>
      <c r="AJ159" s="13">
        <v>65</v>
      </c>
      <c r="AK159" s="13">
        <v>29</v>
      </c>
      <c r="AL159" s="13">
        <v>9.6620959196737157</v>
      </c>
      <c r="AM159" s="14">
        <v>20</v>
      </c>
      <c r="AN159" s="14">
        <v>20</v>
      </c>
      <c r="AO159" s="3">
        <f t="shared" si="22"/>
        <v>1</v>
      </c>
      <c r="AP159" s="14">
        <v>0</v>
      </c>
      <c r="AQ159" s="14">
        <v>42</v>
      </c>
      <c r="AR159" s="3">
        <f t="shared" si="17"/>
        <v>0</v>
      </c>
      <c r="AZ159" s="1">
        <f t="shared" si="1"/>
        <v>0</v>
      </c>
    </row>
    <row r="160" spans="1:52" ht="15.75" customHeight="1" x14ac:dyDescent="0.3">
      <c r="A160" s="1" t="s">
        <v>625</v>
      </c>
      <c r="B160" s="2" t="s">
        <v>626</v>
      </c>
      <c r="C160" s="2">
        <v>160000010</v>
      </c>
      <c r="D160" s="1" t="s">
        <v>487</v>
      </c>
      <c r="E160" s="1" t="s">
        <v>488</v>
      </c>
      <c r="F160" s="1" t="s">
        <v>67</v>
      </c>
      <c r="G160" s="1" t="s">
        <v>86</v>
      </c>
      <c r="H160" s="1" t="s">
        <v>87</v>
      </c>
      <c r="I160" s="1" t="s">
        <v>70</v>
      </c>
      <c r="J160" s="1" t="s">
        <v>460</v>
      </c>
      <c r="K160" s="1">
        <v>6</v>
      </c>
      <c r="L160" s="1" t="s">
        <v>489</v>
      </c>
      <c r="M160" s="1" t="s">
        <v>490</v>
      </c>
      <c r="N160" s="1" t="s">
        <v>491</v>
      </c>
      <c r="O160" s="1" t="s">
        <v>108</v>
      </c>
      <c r="P160" s="1" t="s">
        <v>9</v>
      </c>
      <c r="Q160" s="1" t="s">
        <v>90</v>
      </c>
      <c r="R160" s="1" t="s">
        <v>627</v>
      </c>
      <c r="S160" s="2"/>
      <c r="T160" s="1">
        <v>51</v>
      </c>
      <c r="U160" s="1">
        <v>59</v>
      </c>
      <c r="AE160" s="1" t="s">
        <v>110</v>
      </c>
      <c r="AF160" s="12">
        <v>102</v>
      </c>
      <c r="AG160" s="12">
        <v>40</v>
      </c>
      <c r="AH160" s="12">
        <v>62</v>
      </c>
      <c r="AI160" s="12">
        <v>43.705882352941174</v>
      </c>
      <c r="AJ160" s="12">
        <v>67</v>
      </c>
      <c r="AK160" s="12">
        <v>24</v>
      </c>
      <c r="AL160" s="12">
        <v>10.754311348481661</v>
      </c>
      <c r="AM160" s="14">
        <v>22</v>
      </c>
      <c r="AN160" s="14">
        <v>22</v>
      </c>
      <c r="AO160" s="3">
        <f t="shared" si="22"/>
        <v>1</v>
      </c>
      <c r="AP160" s="14">
        <v>0</v>
      </c>
      <c r="AQ160" s="14">
        <v>102</v>
      </c>
      <c r="AR160" s="3">
        <f t="shared" si="17"/>
        <v>0</v>
      </c>
      <c r="AZ160" s="1">
        <f t="shared" si="1"/>
        <v>0</v>
      </c>
    </row>
    <row r="161" spans="1:52" ht="15.75" customHeight="1" x14ac:dyDescent="0.3">
      <c r="A161" s="1" t="s">
        <v>628</v>
      </c>
      <c r="B161" s="2" t="s">
        <v>629</v>
      </c>
      <c r="C161" s="2">
        <v>160000028</v>
      </c>
      <c r="D161" s="1" t="s">
        <v>610</v>
      </c>
      <c r="E161" s="1" t="s">
        <v>611</v>
      </c>
      <c r="F161" s="1" t="s">
        <v>67</v>
      </c>
      <c r="G161" s="1" t="s">
        <v>86</v>
      </c>
      <c r="H161" s="1" t="s">
        <v>87</v>
      </c>
      <c r="I161" s="1" t="s">
        <v>70</v>
      </c>
      <c r="J161" s="1" t="s">
        <v>511</v>
      </c>
      <c r="K161" s="1">
        <v>6</v>
      </c>
      <c r="L161" s="1" t="s">
        <v>612</v>
      </c>
      <c r="M161" s="1" t="s">
        <v>613</v>
      </c>
      <c r="N161" s="1" t="s">
        <v>74</v>
      </c>
      <c r="O161" s="1" t="s">
        <v>74</v>
      </c>
      <c r="P161" s="1" t="s">
        <v>9</v>
      </c>
      <c r="Q161" s="1" t="s">
        <v>80</v>
      </c>
      <c r="R161" s="1" t="s">
        <v>534</v>
      </c>
      <c r="S161" s="2"/>
      <c r="T161" s="1">
        <v>97</v>
      </c>
      <c r="U161" s="1">
        <v>132</v>
      </c>
      <c r="AE161" s="1" t="s">
        <v>110</v>
      </c>
      <c r="AF161" s="12">
        <v>194</v>
      </c>
      <c r="AG161" s="12">
        <v>94</v>
      </c>
      <c r="AH161" s="12">
        <v>100</v>
      </c>
      <c r="AI161" s="12">
        <v>43.742268041237111</v>
      </c>
      <c r="AJ161" s="12">
        <v>69</v>
      </c>
      <c r="AK161" s="12">
        <v>24</v>
      </c>
      <c r="AL161" s="12">
        <v>11.129271818155628</v>
      </c>
      <c r="AM161" s="14">
        <v>39</v>
      </c>
      <c r="AN161" s="14">
        <v>39</v>
      </c>
      <c r="AO161" s="3">
        <f t="shared" si="22"/>
        <v>1</v>
      </c>
      <c r="AP161" s="14">
        <v>0</v>
      </c>
      <c r="AQ161" s="14">
        <v>194</v>
      </c>
      <c r="AR161" s="3">
        <f t="shared" si="17"/>
        <v>0</v>
      </c>
      <c r="AS161" s="1">
        <v>7</v>
      </c>
      <c r="AT161" s="1">
        <v>21</v>
      </c>
      <c r="AU161" s="1">
        <v>45</v>
      </c>
      <c r="AV161" s="1">
        <v>1</v>
      </c>
      <c r="AW161" s="1">
        <v>0</v>
      </c>
      <c r="AX161" s="1">
        <v>0</v>
      </c>
      <c r="AY161" s="1">
        <v>0</v>
      </c>
      <c r="AZ161" s="1">
        <f t="shared" si="1"/>
        <v>74</v>
      </c>
    </row>
    <row r="162" spans="1:52" ht="15.75" customHeight="1" x14ac:dyDescent="0.3">
      <c r="A162" s="1" t="s">
        <v>630</v>
      </c>
      <c r="B162" s="2" t="s">
        <v>631</v>
      </c>
      <c r="C162" s="2">
        <v>160000027</v>
      </c>
      <c r="D162" s="1" t="s">
        <v>522</v>
      </c>
      <c r="E162" s="1" t="s">
        <v>523</v>
      </c>
      <c r="F162" s="1" t="s">
        <v>67</v>
      </c>
      <c r="G162" s="1" t="s">
        <v>86</v>
      </c>
      <c r="H162" s="1" t="s">
        <v>87</v>
      </c>
      <c r="I162" s="1" t="s">
        <v>70</v>
      </c>
      <c r="J162" s="1" t="s">
        <v>460</v>
      </c>
      <c r="K162" s="1">
        <v>6</v>
      </c>
      <c r="L162" s="1" t="s">
        <v>524</v>
      </c>
      <c r="M162" s="1" t="s">
        <v>525</v>
      </c>
      <c r="N162" s="1" t="s">
        <v>526</v>
      </c>
      <c r="O162" s="1" t="s">
        <v>74</v>
      </c>
      <c r="P162" s="1" t="s">
        <v>9</v>
      </c>
      <c r="Q162" s="1" t="s">
        <v>90</v>
      </c>
      <c r="R162" s="1" t="s">
        <v>632</v>
      </c>
      <c r="S162" s="2"/>
      <c r="AB162" s="1">
        <v>19</v>
      </c>
      <c r="AC162" s="1">
        <v>45</v>
      </c>
      <c r="AD162" s="1">
        <v>79</v>
      </c>
      <c r="AE162" s="1" t="s">
        <v>77</v>
      </c>
      <c r="AF162" s="12">
        <v>19</v>
      </c>
      <c r="AG162" s="12">
        <v>5</v>
      </c>
      <c r="AH162" s="12">
        <v>14</v>
      </c>
      <c r="AI162" s="13">
        <v>43.842105263157897</v>
      </c>
      <c r="AJ162" s="13">
        <v>67</v>
      </c>
      <c r="AK162" s="13">
        <v>29</v>
      </c>
      <c r="AL162" s="13">
        <v>8.001827276696357</v>
      </c>
      <c r="AM162" s="14">
        <v>47</v>
      </c>
      <c r="AN162" s="14">
        <v>47</v>
      </c>
      <c r="AO162" s="3">
        <f t="shared" si="22"/>
        <v>1</v>
      </c>
      <c r="AP162" s="14">
        <v>0</v>
      </c>
      <c r="AQ162" s="14">
        <v>19</v>
      </c>
      <c r="AR162" s="3">
        <f t="shared" si="17"/>
        <v>0</v>
      </c>
      <c r="AZ162" s="1">
        <f t="shared" si="1"/>
        <v>0</v>
      </c>
    </row>
    <row r="163" spans="1:52" ht="15.75" customHeight="1" x14ac:dyDescent="0.3">
      <c r="A163" s="1" t="s">
        <v>633</v>
      </c>
      <c r="B163" s="2" t="s">
        <v>634</v>
      </c>
      <c r="C163" s="2">
        <v>160000028</v>
      </c>
      <c r="D163" s="1" t="s">
        <v>610</v>
      </c>
      <c r="E163" s="1" t="s">
        <v>611</v>
      </c>
      <c r="F163" s="1" t="s">
        <v>67</v>
      </c>
      <c r="G163" s="1" t="s">
        <v>86</v>
      </c>
      <c r="H163" s="1" t="s">
        <v>87</v>
      </c>
      <c r="I163" s="1" t="s">
        <v>70</v>
      </c>
      <c r="J163" s="1" t="s">
        <v>511</v>
      </c>
      <c r="K163" s="1">
        <v>6</v>
      </c>
      <c r="L163" s="1" t="s">
        <v>612</v>
      </c>
      <c r="M163" s="1" t="s">
        <v>613</v>
      </c>
      <c r="N163" s="1" t="s">
        <v>74</v>
      </c>
      <c r="O163" s="1" t="s">
        <v>74</v>
      </c>
      <c r="P163" s="1" t="s">
        <v>9</v>
      </c>
      <c r="Q163" s="1" t="s">
        <v>80</v>
      </c>
      <c r="R163" s="1" t="s">
        <v>254</v>
      </c>
      <c r="S163" s="2"/>
      <c r="T163" s="1">
        <v>53</v>
      </c>
      <c r="U163" s="1">
        <v>39</v>
      </c>
      <c r="AE163" s="1" t="s">
        <v>110</v>
      </c>
      <c r="AF163" s="12">
        <v>106</v>
      </c>
      <c r="AG163" s="12">
        <v>64</v>
      </c>
      <c r="AH163" s="12">
        <v>42</v>
      </c>
      <c r="AI163" s="12">
        <v>44</v>
      </c>
      <c r="AJ163" s="12">
        <v>64</v>
      </c>
      <c r="AK163" s="12">
        <v>26</v>
      </c>
      <c r="AL163" s="12">
        <v>9.9446084938140267</v>
      </c>
      <c r="AM163" s="14"/>
      <c r="AN163" s="14"/>
      <c r="AO163" s="3"/>
      <c r="AP163" s="14">
        <v>0</v>
      </c>
      <c r="AQ163" s="14">
        <v>106</v>
      </c>
      <c r="AR163" s="3">
        <f t="shared" si="17"/>
        <v>0</v>
      </c>
      <c r="AS163" s="1">
        <v>0</v>
      </c>
      <c r="AT163" s="1">
        <v>12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f t="shared" si="1"/>
        <v>12</v>
      </c>
    </row>
    <row r="164" spans="1:52" ht="15.75" customHeight="1" x14ac:dyDescent="0.3">
      <c r="A164" s="1" t="s">
        <v>635</v>
      </c>
      <c r="B164" s="2" t="s">
        <v>636</v>
      </c>
      <c r="C164" s="2">
        <v>160000032</v>
      </c>
      <c r="D164" s="1" t="s">
        <v>480</v>
      </c>
      <c r="E164" s="1" t="s">
        <v>481</v>
      </c>
      <c r="F164" s="1" t="s">
        <v>67</v>
      </c>
      <c r="G164" s="1" t="s">
        <v>86</v>
      </c>
      <c r="H164" s="1" t="s">
        <v>87</v>
      </c>
      <c r="I164" s="1" t="s">
        <v>70</v>
      </c>
      <c r="J164" s="1" t="s">
        <v>440</v>
      </c>
      <c r="K164" s="1">
        <v>6</v>
      </c>
      <c r="L164" s="1" t="s">
        <v>482</v>
      </c>
      <c r="M164" s="1" t="s">
        <v>483</v>
      </c>
      <c r="N164" s="1" t="s">
        <v>482</v>
      </c>
      <c r="O164" s="1" t="s">
        <v>150</v>
      </c>
      <c r="P164" s="1" t="s">
        <v>9</v>
      </c>
      <c r="Q164" s="1" t="s">
        <v>80</v>
      </c>
      <c r="R164" s="1" t="s">
        <v>192</v>
      </c>
      <c r="S164" s="2"/>
      <c r="T164" s="1">
        <v>1</v>
      </c>
      <c r="AE164" s="1" t="s">
        <v>110</v>
      </c>
      <c r="AF164" s="12">
        <v>2</v>
      </c>
      <c r="AG164" s="12">
        <v>0</v>
      </c>
      <c r="AH164" s="12">
        <v>2</v>
      </c>
      <c r="AI164" s="12">
        <v>44</v>
      </c>
      <c r="AJ164" s="12">
        <v>44</v>
      </c>
      <c r="AK164" s="12">
        <v>44</v>
      </c>
      <c r="AL164" s="12">
        <v>0</v>
      </c>
      <c r="AM164" s="14">
        <v>13</v>
      </c>
      <c r="AN164" s="14">
        <v>13</v>
      </c>
      <c r="AO164" s="3">
        <f>AN164/AM164</f>
        <v>1</v>
      </c>
      <c r="AP164" s="14">
        <v>0</v>
      </c>
      <c r="AQ164" s="14">
        <v>2</v>
      </c>
      <c r="AR164" s="3">
        <f t="shared" si="17"/>
        <v>0</v>
      </c>
      <c r="AZ164" s="1">
        <f t="shared" si="1"/>
        <v>0</v>
      </c>
    </row>
    <row r="165" spans="1:52" ht="15.75" customHeight="1" x14ac:dyDescent="0.3">
      <c r="A165" s="1" t="s">
        <v>637</v>
      </c>
      <c r="B165" s="2" t="s">
        <v>638</v>
      </c>
      <c r="C165" s="2">
        <v>160000023</v>
      </c>
      <c r="D165" s="1" t="s">
        <v>504</v>
      </c>
      <c r="E165" s="1" t="s">
        <v>505</v>
      </c>
      <c r="F165" s="1" t="s">
        <v>67</v>
      </c>
      <c r="G165" s="1" t="s">
        <v>86</v>
      </c>
      <c r="H165" s="1" t="s">
        <v>87</v>
      </c>
      <c r="I165" s="1" t="s">
        <v>70</v>
      </c>
      <c r="J165" s="1" t="s">
        <v>460</v>
      </c>
      <c r="K165" s="1">
        <v>6</v>
      </c>
      <c r="L165" s="1" t="s">
        <v>506</v>
      </c>
      <c r="M165" s="1" t="s">
        <v>475</v>
      </c>
      <c r="N165" s="1" t="s">
        <v>476</v>
      </c>
      <c r="O165" s="1" t="s">
        <v>108</v>
      </c>
      <c r="P165" s="1" t="s">
        <v>9</v>
      </c>
      <c r="Q165" s="1" t="s">
        <v>80</v>
      </c>
      <c r="R165" s="1" t="s">
        <v>639</v>
      </c>
      <c r="S165" s="2"/>
      <c r="U165" s="1">
        <v>22</v>
      </c>
      <c r="V165" s="1">
        <v>24</v>
      </c>
      <c r="W165" s="1">
        <v>20</v>
      </c>
      <c r="Z165" s="1">
        <v>43</v>
      </c>
      <c r="AB165" s="1">
        <v>21</v>
      </c>
      <c r="AE165" s="1" t="s">
        <v>77</v>
      </c>
      <c r="AF165" s="12">
        <v>21</v>
      </c>
      <c r="AG165" s="12">
        <v>2</v>
      </c>
      <c r="AH165" s="12">
        <v>19</v>
      </c>
      <c r="AI165" s="13">
        <v>44.1</v>
      </c>
      <c r="AJ165" s="13">
        <v>59</v>
      </c>
      <c r="AK165" s="13">
        <v>28</v>
      </c>
      <c r="AL165" s="13">
        <v>9.7110896998171565</v>
      </c>
      <c r="AM165" s="14"/>
      <c r="AN165" s="14"/>
      <c r="AO165" s="3"/>
      <c r="AP165" s="14">
        <v>0</v>
      </c>
      <c r="AQ165" s="14">
        <v>21</v>
      </c>
      <c r="AR165" s="3">
        <f t="shared" si="17"/>
        <v>0</v>
      </c>
      <c r="AZ165" s="1">
        <f t="shared" si="1"/>
        <v>0</v>
      </c>
    </row>
    <row r="166" spans="1:52" ht="15.75" customHeight="1" x14ac:dyDescent="0.3">
      <c r="A166" s="1" t="s">
        <v>640</v>
      </c>
      <c r="B166" s="2" t="s">
        <v>641</v>
      </c>
      <c r="C166" s="2">
        <v>260000039</v>
      </c>
      <c r="D166" s="1" t="s">
        <v>544</v>
      </c>
      <c r="E166" s="1" t="s">
        <v>545</v>
      </c>
      <c r="F166" s="1" t="s">
        <v>67</v>
      </c>
      <c r="G166" s="1" t="s">
        <v>68</v>
      </c>
      <c r="H166" s="1" t="s">
        <v>69</v>
      </c>
      <c r="I166" s="1" t="s">
        <v>70</v>
      </c>
      <c r="J166" s="1" t="s">
        <v>98</v>
      </c>
      <c r="K166" s="1">
        <v>6</v>
      </c>
      <c r="L166" s="1" t="s">
        <v>546</v>
      </c>
      <c r="M166" s="1" t="s">
        <v>107</v>
      </c>
      <c r="N166" s="1" t="s">
        <v>106</v>
      </c>
      <c r="O166" s="1" t="s">
        <v>108</v>
      </c>
      <c r="P166" s="1" t="s">
        <v>9</v>
      </c>
      <c r="Q166" s="1" t="s">
        <v>80</v>
      </c>
      <c r="R166" s="1" t="s">
        <v>519</v>
      </c>
      <c r="S166" s="2"/>
      <c r="T166" s="1">
        <v>21</v>
      </c>
      <c r="AA166" s="1">
        <v>19</v>
      </c>
      <c r="AC166" s="1">
        <v>34</v>
      </c>
      <c r="AD166" s="1">
        <v>31</v>
      </c>
      <c r="AE166" s="1" t="s">
        <v>93</v>
      </c>
      <c r="AF166" s="15">
        <v>68</v>
      </c>
      <c r="AG166" s="15">
        <v>20</v>
      </c>
      <c r="AH166" s="15">
        <v>48</v>
      </c>
      <c r="AI166" s="13">
        <v>44.235294117647058</v>
      </c>
      <c r="AJ166" s="13">
        <v>67</v>
      </c>
      <c r="AK166" s="13">
        <v>67</v>
      </c>
      <c r="AL166" s="13">
        <v>30</v>
      </c>
      <c r="AM166" s="14"/>
      <c r="AN166" s="14"/>
      <c r="AO166" s="3"/>
      <c r="AP166" s="14">
        <v>0</v>
      </c>
      <c r="AQ166" s="14">
        <v>68</v>
      </c>
      <c r="AR166" s="3">
        <f t="shared" si="17"/>
        <v>0</v>
      </c>
      <c r="AZ166" s="1">
        <f t="shared" si="1"/>
        <v>0</v>
      </c>
    </row>
    <row r="167" spans="1:52" ht="15.75" customHeight="1" x14ac:dyDescent="0.3">
      <c r="A167" s="1" t="s">
        <v>642</v>
      </c>
      <c r="B167" s="2" t="s">
        <v>643</v>
      </c>
      <c r="C167" s="2">
        <v>260000052</v>
      </c>
      <c r="D167" s="1" t="s">
        <v>569</v>
      </c>
      <c r="E167" s="1" t="s">
        <v>570</v>
      </c>
      <c r="F167" s="1" t="s">
        <v>67</v>
      </c>
      <c r="G167" s="1" t="s">
        <v>68</v>
      </c>
      <c r="H167" s="1" t="s">
        <v>439</v>
      </c>
      <c r="I167" s="1" t="s">
        <v>70</v>
      </c>
      <c r="J167" s="1" t="s">
        <v>460</v>
      </c>
      <c r="K167" s="1">
        <v>6</v>
      </c>
      <c r="L167" s="1" t="s">
        <v>571</v>
      </c>
      <c r="M167" s="1" t="s">
        <v>572</v>
      </c>
      <c r="N167" s="1" t="s">
        <v>573</v>
      </c>
      <c r="O167" s="1" t="s">
        <v>150</v>
      </c>
      <c r="P167" s="1" t="s">
        <v>9</v>
      </c>
      <c r="Q167" s="1" t="s">
        <v>80</v>
      </c>
      <c r="R167" s="1" t="s">
        <v>644</v>
      </c>
      <c r="S167" s="2"/>
      <c r="T167" s="1">
        <v>1515</v>
      </c>
      <c r="U167" s="1">
        <v>1677</v>
      </c>
      <c r="V167" s="1">
        <v>1834</v>
      </c>
      <c r="W167" s="1">
        <v>1811</v>
      </c>
      <c r="X167" s="1">
        <v>1668</v>
      </c>
      <c r="Y167" s="1">
        <v>1483</v>
      </c>
      <c r="Z167" s="1">
        <v>1256</v>
      </c>
      <c r="AA167" s="1">
        <v>1089</v>
      </c>
      <c r="AB167" s="1">
        <v>855</v>
      </c>
      <c r="AE167" s="1" t="s">
        <v>77</v>
      </c>
      <c r="AF167" s="12">
        <v>855</v>
      </c>
      <c r="AG167" s="12">
        <v>391</v>
      </c>
      <c r="AH167" s="12">
        <v>464</v>
      </c>
      <c r="AI167" s="13">
        <v>44.432783018867923</v>
      </c>
      <c r="AJ167" s="13">
        <v>70</v>
      </c>
      <c r="AK167" s="13">
        <v>24</v>
      </c>
      <c r="AL167" s="13">
        <v>9.7298921483491778</v>
      </c>
      <c r="AM167" s="14">
        <v>499</v>
      </c>
      <c r="AN167" s="14">
        <v>428</v>
      </c>
      <c r="AO167" s="3">
        <f t="shared" ref="AO167:AO173" si="23">AN167/AM167</f>
        <v>0.85771543086172342</v>
      </c>
      <c r="AP167" s="14">
        <v>90</v>
      </c>
      <c r="AQ167" s="14">
        <v>763</v>
      </c>
      <c r="AR167" s="3">
        <f t="shared" si="17"/>
        <v>0.11795543905635648</v>
      </c>
      <c r="AS167" s="1">
        <v>190</v>
      </c>
      <c r="AT167" s="1">
        <v>195</v>
      </c>
      <c r="AU167" s="1">
        <v>212</v>
      </c>
      <c r="AV167" s="1">
        <v>277</v>
      </c>
      <c r="AW167" s="1">
        <v>0</v>
      </c>
      <c r="AX167" s="1">
        <v>110</v>
      </c>
      <c r="AY167" s="1">
        <v>161</v>
      </c>
      <c r="AZ167" s="1">
        <f t="shared" si="1"/>
        <v>1145</v>
      </c>
    </row>
    <row r="168" spans="1:52" ht="15.75" customHeight="1" x14ac:dyDescent="0.3">
      <c r="A168" s="1" t="s">
        <v>645</v>
      </c>
      <c r="B168" s="2" t="s">
        <v>646</v>
      </c>
      <c r="C168" s="2">
        <v>160000027</v>
      </c>
      <c r="D168" s="1" t="s">
        <v>522</v>
      </c>
      <c r="E168" s="1" t="s">
        <v>523</v>
      </c>
      <c r="F168" s="1" t="s">
        <v>67</v>
      </c>
      <c r="G168" s="1" t="s">
        <v>86</v>
      </c>
      <c r="H168" s="1" t="s">
        <v>87</v>
      </c>
      <c r="I168" s="1" t="s">
        <v>70</v>
      </c>
      <c r="J168" s="1" t="s">
        <v>460</v>
      </c>
      <c r="K168" s="1">
        <v>6</v>
      </c>
      <c r="L168" s="1" t="s">
        <v>524</v>
      </c>
      <c r="M168" s="1" t="s">
        <v>525</v>
      </c>
      <c r="N168" s="1" t="s">
        <v>526</v>
      </c>
      <c r="O168" s="1" t="s">
        <v>74</v>
      </c>
      <c r="P168" s="1" t="s">
        <v>9</v>
      </c>
      <c r="Q168" s="1" t="s">
        <v>80</v>
      </c>
      <c r="R168" s="1" t="s">
        <v>300</v>
      </c>
      <c r="S168" s="2"/>
      <c r="T168" s="1">
        <v>13</v>
      </c>
      <c r="V168" s="1">
        <v>12</v>
      </c>
      <c r="W168" s="1">
        <v>12</v>
      </c>
      <c r="X168" s="1">
        <v>11</v>
      </c>
      <c r="Y168" s="1">
        <v>11</v>
      </c>
      <c r="AC168" s="1">
        <v>18</v>
      </c>
      <c r="AD168" s="1">
        <v>39</v>
      </c>
      <c r="AE168" s="1" t="s">
        <v>93</v>
      </c>
      <c r="AF168" s="15">
        <v>36</v>
      </c>
      <c r="AG168" s="15">
        <v>10</v>
      </c>
      <c r="AH168" s="15">
        <v>26</v>
      </c>
      <c r="AI168" s="13">
        <v>44.647058823529413</v>
      </c>
      <c r="AJ168" s="13">
        <v>60</v>
      </c>
      <c r="AK168" s="13">
        <v>60</v>
      </c>
      <c r="AL168" s="13">
        <v>28</v>
      </c>
      <c r="AM168" s="14">
        <v>20</v>
      </c>
      <c r="AN168" s="14">
        <v>20</v>
      </c>
      <c r="AO168" s="3">
        <f t="shared" si="23"/>
        <v>1</v>
      </c>
      <c r="AP168" s="14">
        <v>0</v>
      </c>
      <c r="AQ168" s="14">
        <v>36</v>
      </c>
      <c r="AR168" s="3">
        <f t="shared" si="17"/>
        <v>0</v>
      </c>
      <c r="AS168" s="1">
        <v>0</v>
      </c>
      <c r="AT168" s="1">
        <v>0</v>
      </c>
      <c r="AU168" s="1">
        <v>8</v>
      </c>
      <c r="AV168" s="1">
        <v>0</v>
      </c>
      <c r="AW168" s="1">
        <v>0</v>
      </c>
      <c r="AX168" s="1">
        <v>0</v>
      </c>
      <c r="AY168" s="1">
        <v>0</v>
      </c>
      <c r="AZ168" s="1">
        <f t="shared" si="1"/>
        <v>8</v>
      </c>
    </row>
    <row r="169" spans="1:52" ht="15.75" customHeight="1" x14ac:dyDescent="0.3">
      <c r="A169" s="1" t="s">
        <v>647</v>
      </c>
      <c r="B169" s="2" t="s">
        <v>648</v>
      </c>
      <c r="C169" s="2">
        <v>160000010</v>
      </c>
      <c r="D169" s="1" t="s">
        <v>487</v>
      </c>
      <c r="E169" s="1" t="s">
        <v>488</v>
      </c>
      <c r="F169" s="1" t="s">
        <v>67</v>
      </c>
      <c r="G169" s="1" t="s">
        <v>86</v>
      </c>
      <c r="H169" s="1" t="s">
        <v>87</v>
      </c>
      <c r="I169" s="1" t="s">
        <v>70</v>
      </c>
      <c r="J169" s="1" t="s">
        <v>460</v>
      </c>
      <c r="K169" s="1">
        <v>6</v>
      </c>
      <c r="L169" s="1" t="s">
        <v>489</v>
      </c>
      <c r="M169" s="1" t="s">
        <v>490</v>
      </c>
      <c r="N169" s="1" t="s">
        <v>491</v>
      </c>
      <c r="O169" s="1" t="s">
        <v>108</v>
      </c>
      <c r="P169" s="1" t="s">
        <v>9</v>
      </c>
      <c r="Q169" s="1" t="s">
        <v>80</v>
      </c>
      <c r="R169" s="1" t="s">
        <v>534</v>
      </c>
      <c r="S169" s="2"/>
      <c r="T169" s="1">
        <v>313</v>
      </c>
      <c r="U169" s="1">
        <v>350</v>
      </c>
      <c r="AE169" s="1" t="s">
        <v>110</v>
      </c>
      <c r="AF169" s="12">
        <v>626</v>
      </c>
      <c r="AG169" s="12">
        <v>314</v>
      </c>
      <c r="AH169" s="12">
        <v>312</v>
      </c>
      <c r="AI169" s="12">
        <v>44.686900958466452</v>
      </c>
      <c r="AJ169" s="12">
        <v>70</v>
      </c>
      <c r="AK169" s="12">
        <v>26</v>
      </c>
      <c r="AL169" s="12">
        <v>8.3903404067162288</v>
      </c>
      <c r="AM169" s="14">
        <v>58</v>
      </c>
      <c r="AN169" s="14">
        <v>58</v>
      </c>
      <c r="AO169" s="3">
        <f t="shared" si="23"/>
        <v>1</v>
      </c>
      <c r="AP169" s="14">
        <v>0</v>
      </c>
      <c r="AQ169" s="14">
        <v>626</v>
      </c>
      <c r="AR169" s="3">
        <f t="shared" si="17"/>
        <v>0</v>
      </c>
      <c r="AS169" s="1">
        <v>7</v>
      </c>
      <c r="AT169" s="1">
        <v>34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f t="shared" si="1"/>
        <v>41</v>
      </c>
    </row>
    <row r="170" spans="1:52" ht="15.75" customHeight="1" x14ac:dyDescent="0.3">
      <c r="A170" s="1" t="s">
        <v>649</v>
      </c>
      <c r="B170" s="2" t="s">
        <v>650</v>
      </c>
      <c r="C170" s="2">
        <v>160000028</v>
      </c>
      <c r="D170" s="1" t="s">
        <v>610</v>
      </c>
      <c r="E170" s="1" t="s">
        <v>611</v>
      </c>
      <c r="F170" s="1" t="s">
        <v>67</v>
      </c>
      <c r="G170" s="1" t="s">
        <v>86</v>
      </c>
      <c r="H170" s="1" t="s">
        <v>87</v>
      </c>
      <c r="I170" s="1" t="s">
        <v>70</v>
      </c>
      <c r="J170" s="1" t="s">
        <v>511</v>
      </c>
      <c r="K170" s="1">
        <v>6</v>
      </c>
      <c r="L170" s="1" t="s">
        <v>612</v>
      </c>
      <c r="M170" s="1" t="s">
        <v>613</v>
      </c>
      <c r="N170" s="1" t="s">
        <v>74</v>
      </c>
      <c r="O170" s="1" t="s">
        <v>74</v>
      </c>
      <c r="P170" s="1" t="s">
        <v>9</v>
      </c>
      <c r="Q170" s="1" t="s">
        <v>80</v>
      </c>
      <c r="R170" s="1" t="s">
        <v>192</v>
      </c>
      <c r="S170" s="2"/>
      <c r="T170" s="1">
        <v>91</v>
      </c>
      <c r="U170" s="1">
        <v>93</v>
      </c>
      <c r="AE170" s="1" t="s">
        <v>110</v>
      </c>
      <c r="AF170" s="12">
        <v>182</v>
      </c>
      <c r="AG170" s="12">
        <v>58</v>
      </c>
      <c r="AH170" s="12">
        <v>124</v>
      </c>
      <c r="AI170" s="12">
        <v>44.722222222222221</v>
      </c>
      <c r="AJ170" s="12">
        <v>69</v>
      </c>
      <c r="AK170" s="12">
        <v>25</v>
      </c>
      <c r="AL170" s="12">
        <v>11.351201819351006</v>
      </c>
      <c r="AM170" s="14">
        <v>25</v>
      </c>
      <c r="AN170" s="14">
        <v>25</v>
      </c>
      <c r="AO170" s="3">
        <f t="shared" si="23"/>
        <v>1</v>
      </c>
      <c r="AP170" s="14">
        <v>2</v>
      </c>
      <c r="AQ170" s="14">
        <v>180</v>
      </c>
      <c r="AR170" s="3">
        <f t="shared" si="17"/>
        <v>1.1111111111111112E-2</v>
      </c>
      <c r="AS170" s="1">
        <v>20</v>
      </c>
      <c r="AT170" s="1">
        <v>14</v>
      </c>
      <c r="AU170" s="1">
        <v>14</v>
      </c>
      <c r="AV170" s="1">
        <v>15</v>
      </c>
      <c r="AW170" s="1">
        <v>0</v>
      </c>
      <c r="AX170" s="1">
        <v>0</v>
      </c>
      <c r="AY170" s="1">
        <v>0</v>
      </c>
      <c r="AZ170" s="1">
        <f t="shared" si="1"/>
        <v>63</v>
      </c>
    </row>
    <row r="171" spans="1:52" ht="15.75" customHeight="1" x14ac:dyDescent="0.3">
      <c r="A171" s="1" t="s">
        <v>651</v>
      </c>
      <c r="B171" s="2" t="s">
        <v>652</v>
      </c>
      <c r="C171" s="2">
        <v>160000027</v>
      </c>
      <c r="D171" s="1" t="s">
        <v>522</v>
      </c>
      <c r="E171" s="1" t="s">
        <v>523</v>
      </c>
      <c r="F171" s="1" t="s">
        <v>67</v>
      </c>
      <c r="G171" s="1" t="s">
        <v>86</v>
      </c>
      <c r="H171" s="1" t="s">
        <v>87</v>
      </c>
      <c r="I171" s="1" t="s">
        <v>70</v>
      </c>
      <c r="J171" s="1" t="s">
        <v>460</v>
      </c>
      <c r="K171" s="1">
        <v>6</v>
      </c>
      <c r="L171" s="1" t="s">
        <v>524</v>
      </c>
      <c r="M171" s="1" t="s">
        <v>525</v>
      </c>
      <c r="N171" s="1" t="s">
        <v>526</v>
      </c>
      <c r="O171" s="1" t="s">
        <v>74</v>
      </c>
      <c r="P171" s="1" t="s">
        <v>9</v>
      </c>
      <c r="Q171" s="1" t="s">
        <v>80</v>
      </c>
      <c r="R171" s="1" t="s">
        <v>228</v>
      </c>
      <c r="S171" s="2"/>
      <c r="T171" s="1">
        <v>71</v>
      </c>
      <c r="U171" s="1">
        <v>73</v>
      </c>
      <c r="V171" s="1">
        <v>69</v>
      </c>
      <c r="W171" s="1">
        <v>62</v>
      </c>
      <c r="X171" s="1">
        <v>66</v>
      </c>
      <c r="Y171" s="1">
        <v>73</v>
      </c>
      <c r="Z171" s="1">
        <v>71</v>
      </c>
      <c r="AB171" s="1">
        <v>63</v>
      </c>
      <c r="AC171" s="1">
        <v>80</v>
      </c>
      <c r="AD171" s="1">
        <v>94</v>
      </c>
      <c r="AE171" s="1" t="s">
        <v>77</v>
      </c>
      <c r="AF171" s="12">
        <v>63</v>
      </c>
      <c r="AG171" s="12">
        <v>16</v>
      </c>
      <c r="AH171" s="12">
        <v>47</v>
      </c>
      <c r="AI171" s="13">
        <v>44.83606557377049</v>
      </c>
      <c r="AJ171" s="13">
        <v>70</v>
      </c>
      <c r="AK171" s="13">
        <v>25</v>
      </c>
      <c r="AL171" s="13">
        <v>11.207408751757105</v>
      </c>
      <c r="AM171" s="14">
        <v>49</v>
      </c>
      <c r="AN171" s="14">
        <v>49</v>
      </c>
      <c r="AO171" s="3">
        <f t="shared" si="23"/>
        <v>1</v>
      </c>
      <c r="AP171" s="14">
        <v>1</v>
      </c>
      <c r="AQ171" s="14">
        <v>61</v>
      </c>
      <c r="AR171" s="3">
        <f t="shared" si="17"/>
        <v>1.6393442622950821E-2</v>
      </c>
      <c r="AS171" s="1">
        <v>2</v>
      </c>
      <c r="AT171" s="1">
        <v>0</v>
      </c>
      <c r="AU171" s="1">
        <v>12</v>
      </c>
      <c r="AV171" s="1">
        <v>7</v>
      </c>
      <c r="AW171" s="1">
        <v>0</v>
      </c>
      <c r="AX171" s="1">
        <v>15</v>
      </c>
      <c r="AY171" s="1">
        <v>3</v>
      </c>
      <c r="AZ171" s="1">
        <f t="shared" si="1"/>
        <v>39</v>
      </c>
    </row>
    <row r="172" spans="1:52" ht="15.75" customHeight="1" x14ac:dyDescent="0.3">
      <c r="A172" s="1" t="s">
        <v>653</v>
      </c>
      <c r="B172" s="2" t="s">
        <v>654</v>
      </c>
      <c r="C172" s="2">
        <v>160000027</v>
      </c>
      <c r="D172" s="1" t="s">
        <v>522</v>
      </c>
      <c r="E172" s="1" t="s">
        <v>523</v>
      </c>
      <c r="F172" s="1" t="s">
        <v>67</v>
      </c>
      <c r="G172" s="1" t="s">
        <v>86</v>
      </c>
      <c r="H172" s="1" t="s">
        <v>87</v>
      </c>
      <c r="I172" s="1" t="s">
        <v>70</v>
      </c>
      <c r="J172" s="1" t="s">
        <v>460</v>
      </c>
      <c r="K172" s="1">
        <v>6</v>
      </c>
      <c r="L172" s="1" t="s">
        <v>524</v>
      </c>
      <c r="M172" s="1" t="s">
        <v>525</v>
      </c>
      <c r="N172" s="1" t="s">
        <v>526</v>
      </c>
      <c r="O172" s="1" t="s">
        <v>74</v>
      </c>
      <c r="P172" s="1" t="s">
        <v>9</v>
      </c>
      <c r="Q172" s="1" t="s">
        <v>80</v>
      </c>
      <c r="R172" s="1" t="s">
        <v>655</v>
      </c>
      <c r="S172" s="2"/>
      <c r="T172" s="1">
        <v>50</v>
      </c>
      <c r="U172" s="1">
        <v>59</v>
      </c>
      <c r="V172" s="1">
        <v>37</v>
      </c>
      <c r="W172" s="1">
        <v>37</v>
      </c>
      <c r="X172" s="1">
        <v>59</v>
      </c>
      <c r="Y172" s="1">
        <v>53</v>
      </c>
      <c r="Z172" s="1">
        <v>53</v>
      </c>
      <c r="AB172" s="1">
        <v>72</v>
      </c>
      <c r="AC172" s="1">
        <v>70</v>
      </c>
      <c r="AD172" s="1">
        <v>62</v>
      </c>
      <c r="AE172" s="1" t="s">
        <v>77</v>
      </c>
      <c r="AF172" s="12">
        <v>72</v>
      </c>
      <c r="AG172" s="12">
        <v>48</v>
      </c>
      <c r="AH172" s="12">
        <v>24</v>
      </c>
      <c r="AI172" s="13">
        <v>44.888888888888886</v>
      </c>
      <c r="AJ172" s="13">
        <v>63</v>
      </c>
      <c r="AK172" s="13">
        <v>27</v>
      </c>
      <c r="AL172" s="13">
        <v>8.8086953767854723</v>
      </c>
      <c r="AM172" s="14">
        <v>20</v>
      </c>
      <c r="AN172" s="14">
        <v>20</v>
      </c>
      <c r="AO172" s="3">
        <f t="shared" si="23"/>
        <v>1</v>
      </c>
      <c r="AP172" s="14">
        <v>0</v>
      </c>
      <c r="AQ172" s="14">
        <v>72</v>
      </c>
      <c r="AR172" s="3">
        <f t="shared" si="17"/>
        <v>0</v>
      </c>
      <c r="AS172" s="1">
        <v>3</v>
      </c>
      <c r="AT172" s="1">
        <v>0</v>
      </c>
      <c r="AU172" s="1">
        <v>11</v>
      </c>
      <c r="AV172" s="1">
        <v>9</v>
      </c>
      <c r="AW172" s="1">
        <v>0</v>
      </c>
      <c r="AX172" s="1">
        <v>3</v>
      </c>
      <c r="AY172" s="1">
        <v>2</v>
      </c>
      <c r="AZ172" s="1">
        <f t="shared" si="1"/>
        <v>28</v>
      </c>
    </row>
    <row r="173" spans="1:52" ht="15.75" customHeight="1" x14ac:dyDescent="0.3">
      <c r="A173" s="1" t="s">
        <v>656</v>
      </c>
      <c r="B173" s="2" t="s">
        <v>657</v>
      </c>
      <c r="C173" s="2">
        <v>260000052</v>
      </c>
      <c r="D173" s="1" t="s">
        <v>569</v>
      </c>
      <c r="E173" s="1" t="s">
        <v>570</v>
      </c>
      <c r="F173" s="1" t="s">
        <v>67</v>
      </c>
      <c r="G173" s="1" t="s">
        <v>68</v>
      </c>
      <c r="H173" s="1" t="s">
        <v>439</v>
      </c>
      <c r="I173" s="1" t="s">
        <v>70</v>
      </c>
      <c r="J173" s="1" t="s">
        <v>460</v>
      </c>
      <c r="K173" s="1">
        <v>6</v>
      </c>
      <c r="L173" s="1" t="s">
        <v>571</v>
      </c>
      <c r="M173" s="1" t="s">
        <v>572</v>
      </c>
      <c r="N173" s="1" t="s">
        <v>573</v>
      </c>
      <c r="O173" s="1" t="s">
        <v>150</v>
      </c>
      <c r="P173" s="1" t="s">
        <v>9</v>
      </c>
      <c r="Q173" s="1" t="s">
        <v>80</v>
      </c>
      <c r="R173" s="1" t="s">
        <v>192</v>
      </c>
      <c r="S173" s="2"/>
      <c r="T173" s="1">
        <v>214</v>
      </c>
      <c r="U173" s="1">
        <v>251</v>
      </c>
      <c r="V173" s="1">
        <v>261</v>
      </c>
      <c r="W173" s="1">
        <v>286</v>
      </c>
      <c r="X173" s="1">
        <v>308</v>
      </c>
      <c r="Y173" s="1">
        <v>276</v>
      </c>
      <c r="Z173" s="1">
        <v>210</v>
      </c>
      <c r="AA173" s="1">
        <v>186</v>
      </c>
      <c r="AB173" s="1">
        <v>148</v>
      </c>
      <c r="AE173" s="1" t="s">
        <v>77</v>
      </c>
      <c r="AF173" s="12">
        <v>148</v>
      </c>
      <c r="AG173" s="12">
        <v>55</v>
      </c>
      <c r="AH173" s="12">
        <v>93</v>
      </c>
      <c r="AI173" s="13">
        <v>44.965753424657535</v>
      </c>
      <c r="AJ173" s="13">
        <v>68</v>
      </c>
      <c r="AK173" s="13">
        <v>27</v>
      </c>
      <c r="AL173" s="13">
        <v>10.244873829055388</v>
      </c>
      <c r="AM173" s="14">
        <v>86</v>
      </c>
      <c r="AN173" s="14">
        <v>74</v>
      </c>
      <c r="AO173" s="3">
        <f t="shared" si="23"/>
        <v>0.86046511627906974</v>
      </c>
      <c r="AP173" s="14">
        <v>0</v>
      </c>
      <c r="AQ173" s="14">
        <v>147</v>
      </c>
      <c r="AR173" s="3">
        <f t="shared" si="17"/>
        <v>0</v>
      </c>
      <c r="AS173" s="1">
        <v>35</v>
      </c>
      <c r="AT173" s="1">
        <v>15</v>
      </c>
      <c r="AU173" s="1">
        <v>29</v>
      </c>
      <c r="AV173" s="1">
        <v>45</v>
      </c>
      <c r="AW173" s="1">
        <v>0</v>
      </c>
      <c r="AX173" s="1">
        <v>32</v>
      </c>
      <c r="AY173" s="1">
        <v>41</v>
      </c>
      <c r="AZ173" s="1">
        <f t="shared" si="1"/>
        <v>197</v>
      </c>
    </row>
    <row r="174" spans="1:52" ht="15.75" customHeight="1" x14ac:dyDescent="0.3">
      <c r="A174" s="1" t="s">
        <v>658</v>
      </c>
      <c r="B174" s="2" t="s">
        <v>659</v>
      </c>
      <c r="C174" s="2">
        <v>160000042</v>
      </c>
      <c r="D174" s="1" t="s">
        <v>458</v>
      </c>
      <c r="E174" s="1" t="s">
        <v>459</v>
      </c>
      <c r="F174" s="1" t="s">
        <v>67</v>
      </c>
      <c r="G174" s="1" t="s">
        <v>86</v>
      </c>
      <c r="H174" s="1" t="s">
        <v>87</v>
      </c>
      <c r="I174" s="1" t="s">
        <v>70</v>
      </c>
      <c r="J174" s="1" t="s">
        <v>460</v>
      </c>
      <c r="K174" s="1">
        <v>6</v>
      </c>
      <c r="L174" s="1" t="s">
        <v>461</v>
      </c>
      <c r="M174" s="1" t="s">
        <v>462</v>
      </c>
      <c r="N174" s="1" t="s">
        <v>463</v>
      </c>
      <c r="O174" s="1" t="s">
        <v>150</v>
      </c>
      <c r="P174" s="1" t="s">
        <v>9</v>
      </c>
      <c r="Q174" s="1" t="s">
        <v>75</v>
      </c>
      <c r="R174" s="1" t="s">
        <v>561</v>
      </c>
      <c r="S174" s="2"/>
      <c r="T174" s="1">
        <v>9</v>
      </c>
      <c r="U174" s="1">
        <v>6</v>
      </c>
      <c r="AE174" s="1" t="s">
        <v>110</v>
      </c>
      <c r="AF174" s="12">
        <v>18</v>
      </c>
      <c r="AG174" s="12">
        <v>18</v>
      </c>
      <c r="AH174" s="12">
        <v>0</v>
      </c>
      <c r="AI174" s="12">
        <v>45.333333333333336</v>
      </c>
      <c r="AJ174" s="12">
        <v>64</v>
      </c>
      <c r="AK174" s="12">
        <v>31</v>
      </c>
      <c r="AL174" s="12">
        <v>10.889822555676362</v>
      </c>
      <c r="AM174" s="14"/>
      <c r="AN174" s="14"/>
      <c r="AO174" s="3"/>
      <c r="AP174" s="14">
        <v>0</v>
      </c>
      <c r="AQ174" s="14">
        <v>18</v>
      </c>
      <c r="AR174" s="3">
        <f t="shared" si="17"/>
        <v>0</v>
      </c>
      <c r="AZ174" s="1">
        <f t="shared" si="1"/>
        <v>0</v>
      </c>
    </row>
    <row r="175" spans="1:52" ht="15.75" customHeight="1" x14ac:dyDescent="0.3">
      <c r="A175" s="1" t="s">
        <v>660</v>
      </c>
      <c r="B175" s="2" t="s">
        <v>661</v>
      </c>
      <c r="C175" s="2">
        <v>160000032</v>
      </c>
      <c r="D175" s="1" t="s">
        <v>480</v>
      </c>
      <c r="E175" s="1" t="s">
        <v>481</v>
      </c>
      <c r="F175" s="1" t="s">
        <v>67</v>
      </c>
      <c r="G175" s="1" t="s">
        <v>86</v>
      </c>
      <c r="H175" s="1" t="s">
        <v>87</v>
      </c>
      <c r="I175" s="1" t="s">
        <v>70</v>
      </c>
      <c r="J175" s="1" t="s">
        <v>440</v>
      </c>
      <c r="K175" s="1">
        <v>6</v>
      </c>
      <c r="L175" s="1" t="s">
        <v>482</v>
      </c>
      <c r="M175" s="1" t="s">
        <v>483</v>
      </c>
      <c r="N175" s="1" t="s">
        <v>482</v>
      </c>
      <c r="O175" s="1" t="s">
        <v>150</v>
      </c>
      <c r="P175" s="1" t="s">
        <v>9</v>
      </c>
      <c r="Q175" s="1" t="s">
        <v>90</v>
      </c>
      <c r="R175" s="1" t="s">
        <v>417</v>
      </c>
      <c r="S175" s="2"/>
      <c r="T175" s="1">
        <v>63</v>
      </c>
      <c r="U175" s="1">
        <v>61</v>
      </c>
      <c r="AE175" s="1" t="s">
        <v>110</v>
      </c>
      <c r="AF175" s="12">
        <v>126</v>
      </c>
      <c r="AG175" s="12">
        <v>46</v>
      </c>
      <c r="AH175" s="12">
        <v>80</v>
      </c>
      <c r="AI175" s="12">
        <v>45.428571428571431</v>
      </c>
      <c r="AJ175" s="12">
        <v>68</v>
      </c>
      <c r="AK175" s="12">
        <v>27</v>
      </c>
      <c r="AL175" s="12">
        <v>10.399560430270938</v>
      </c>
      <c r="AM175" s="14">
        <v>28</v>
      </c>
      <c r="AN175" s="14">
        <v>28</v>
      </c>
      <c r="AO175" s="3">
        <f t="shared" ref="AO175:AO176" si="24">AN175/AM175</f>
        <v>1</v>
      </c>
      <c r="AP175" s="14">
        <v>0</v>
      </c>
      <c r="AQ175" s="14">
        <v>126</v>
      </c>
      <c r="AR175" s="3">
        <f t="shared" si="17"/>
        <v>0</v>
      </c>
      <c r="AZ175" s="1">
        <f t="shared" si="1"/>
        <v>0</v>
      </c>
    </row>
    <row r="176" spans="1:52" ht="15.75" customHeight="1" x14ac:dyDescent="0.3">
      <c r="A176" s="1" t="s">
        <v>662</v>
      </c>
      <c r="B176" s="2" t="s">
        <v>663</v>
      </c>
      <c r="C176" s="2">
        <v>260000020</v>
      </c>
      <c r="D176" s="1" t="s">
        <v>617</v>
      </c>
      <c r="E176" s="1" t="s">
        <v>618</v>
      </c>
      <c r="F176" s="1" t="s">
        <v>67</v>
      </c>
      <c r="G176" s="1" t="s">
        <v>68</v>
      </c>
      <c r="H176" s="1" t="s">
        <v>69</v>
      </c>
      <c r="I176" s="1" t="s">
        <v>70</v>
      </c>
      <c r="J176" s="1" t="s">
        <v>619</v>
      </c>
      <c r="K176" s="1">
        <v>6</v>
      </c>
      <c r="L176" s="1" t="s">
        <v>132</v>
      </c>
      <c r="M176" s="1" t="s">
        <v>73</v>
      </c>
      <c r="N176" s="1" t="s">
        <v>74</v>
      </c>
      <c r="O176" s="1" t="s">
        <v>74</v>
      </c>
      <c r="P176" s="1" t="s">
        <v>9</v>
      </c>
      <c r="Q176" s="1" t="s">
        <v>80</v>
      </c>
      <c r="R176" s="1" t="s">
        <v>315</v>
      </c>
      <c r="S176" s="2"/>
      <c r="U176" s="1">
        <v>77</v>
      </c>
      <c r="V176" s="1">
        <v>79</v>
      </c>
      <c r="W176" s="1">
        <v>85</v>
      </c>
      <c r="X176" s="1">
        <v>68</v>
      </c>
      <c r="Y176" s="1">
        <v>53</v>
      </c>
      <c r="Z176" s="1">
        <v>50</v>
      </c>
      <c r="AA176" s="1">
        <v>43</v>
      </c>
      <c r="AB176" s="1">
        <v>41</v>
      </c>
      <c r="AC176" s="1">
        <v>32</v>
      </c>
      <c r="AD176" s="1">
        <v>37</v>
      </c>
      <c r="AE176" s="1" t="s">
        <v>77</v>
      </c>
      <c r="AF176" s="12">
        <v>41</v>
      </c>
      <c r="AG176" s="12">
        <v>40</v>
      </c>
      <c r="AH176" s="12">
        <v>1</v>
      </c>
      <c r="AI176" s="13">
        <v>45.536585365853661</v>
      </c>
      <c r="AJ176" s="13">
        <v>70</v>
      </c>
      <c r="AK176" s="13">
        <v>27</v>
      </c>
      <c r="AL176" s="13">
        <v>10.700695213339209</v>
      </c>
      <c r="AM176" s="14">
        <v>14</v>
      </c>
      <c r="AN176" s="14">
        <v>13</v>
      </c>
      <c r="AO176" s="3">
        <f t="shared" si="24"/>
        <v>0.9285714285714286</v>
      </c>
      <c r="AP176" s="14">
        <v>1</v>
      </c>
      <c r="AQ176" s="14">
        <v>40</v>
      </c>
      <c r="AR176" s="3">
        <f t="shared" si="17"/>
        <v>2.5000000000000001E-2</v>
      </c>
      <c r="AS176" s="1">
        <v>8</v>
      </c>
      <c r="AT176" s="1">
        <v>10</v>
      </c>
      <c r="AU176" s="1">
        <v>10</v>
      </c>
      <c r="AV176" s="1">
        <v>14</v>
      </c>
      <c r="AW176" s="1">
        <v>0</v>
      </c>
      <c r="AX176" s="1">
        <v>6</v>
      </c>
      <c r="AY176" s="1">
        <v>6</v>
      </c>
      <c r="AZ176" s="1">
        <f t="shared" si="1"/>
        <v>54</v>
      </c>
    </row>
    <row r="177" spans="1:52" ht="15.75" customHeight="1" x14ac:dyDescent="0.3">
      <c r="A177" s="1" t="s">
        <v>664</v>
      </c>
      <c r="B177" s="2" t="s">
        <v>665</v>
      </c>
      <c r="C177" s="2">
        <v>160000042</v>
      </c>
      <c r="D177" s="1" t="s">
        <v>458</v>
      </c>
      <c r="E177" s="1" t="s">
        <v>459</v>
      </c>
      <c r="F177" s="1" t="s">
        <v>67</v>
      </c>
      <c r="G177" s="1" t="s">
        <v>86</v>
      </c>
      <c r="H177" s="1" t="s">
        <v>87</v>
      </c>
      <c r="I177" s="1" t="s">
        <v>70</v>
      </c>
      <c r="J177" s="1" t="s">
        <v>460</v>
      </c>
      <c r="K177" s="1">
        <v>6</v>
      </c>
      <c r="L177" s="1" t="s">
        <v>461</v>
      </c>
      <c r="M177" s="1" t="s">
        <v>462</v>
      </c>
      <c r="N177" s="1" t="s">
        <v>463</v>
      </c>
      <c r="O177" s="1" t="s">
        <v>150</v>
      </c>
      <c r="P177" s="1" t="s">
        <v>9</v>
      </c>
      <c r="Q177" s="1" t="s">
        <v>90</v>
      </c>
      <c r="R177" s="1" t="s">
        <v>666</v>
      </c>
      <c r="S177" s="2"/>
      <c r="T177" s="1">
        <v>62</v>
      </c>
      <c r="U177" s="1">
        <v>53</v>
      </c>
      <c r="AE177" s="1" t="s">
        <v>110</v>
      </c>
      <c r="AF177" s="12">
        <v>124</v>
      </c>
      <c r="AG177" s="12">
        <v>14</v>
      </c>
      <c r="AH177" s="12">
        <v>110</v>
      </c>
      <c r="AI177" s="12">
        <v>45.606557377049178</v>
      </c>
      <c r="AJ177" s="12">
        <v>69</v>
      </c>
      <c r="AK177" s="12">
        <v>29</v>
      </c>
      <c r="AL177" s="12">
        <v>9.5299071453587594</v>
      </c>
      <c r="AM177" s="14"/>
      <c r="AN177" s="14"/>
      <c r="AO177" s="3"/>
      <c r="AP177" s="14">
        <v>0</v>
      </c>
      <c r="AQ177" s="14">
        <v>124</v>
      </c>
      <c r="AR177" s="3">
        <f t="shared" si="17"/>
        <v>0</v>
      </c>
      <c r="AZ177" s="1">
        <f t="shared" si="1"/>
        <v>0</v>
      </c>
    </row>
    <row r="178" spans="1:52" ht="15.75" customHeight="1" x14ac:dyDescent="0.3">
      <c r="A178" s="1" t="s">
        <v>667</v>
      </c>
      <c r="B178" s="2" t="s">
        <v>668</v>
      </c>
      <c r="C178" s="2">
        <v>160000035</v>
      </c>
      <c r="D178" s="1" t="s">
        <v>669</v>
      </c>
      <c r="E178" s="1" t="s">
        <v>670</v>
      </c>
      <c r="F178" s="1" t="s">
        <v>67</v>
      </c>
      <c r="G178" s="1" t="s">
        <v>86</v>
      </c>
      <c r="H178" s="1" t="s">
        <v>87</v>
      </c>
      <c r="I178" s="1" t="s">
        <v>70</v>
      </c>
      <c r="J178" s="1" t="s">
        <v>440</v>
      </c>
      <c r="K178" s="1">
        <v>6</v>
      </c>
      <c r="L178" s="1" t="s">
        <v>671</v>
      </c>
      <c r="M178" s="1" t="s">
        <v>672</v>
      </c>
      <c r="N178" s="1" t="s">
        <v>673</v>
      </c>
      <c r="O178" s="1" t="s">
        <v>413</v>
      </c>
      <c r="P178" s="1" t="s">
        <v>9</v>
      </c>
      <c r="Q178" s="1" t="s">
        <v>80</v>
      </c>
      <c r="R178" s="1" t="s">
        <v>192</v>
      </c>
      <c r="S178" s="2"/>
      <c r="T178" s="1">
        <v>76</v>
      </c>
      <c r="AE178" s="1" t="s">
        <v>110</v>
      </c>
      <c r="AF178" s="12">
        <v>152</v>
      </c>
      <c r="AG178" s="12">
        <v>36</v>
      </c>
      <c r="AH178" s="12">
        <v>116</v>
      </c>
      <c r="AI178" s="12">
        <v>45.608108108108105</v>
      </c>
      <c r="AJ178" s="12">
        <v>66</v>
      </c>
      <c r="AK178" s="12">
        <v>28</v>
      </c>
      <c r="AL178" s="12">
        <v>9.5814695982246203</v>
      </c>
      <c r="AM178" s="14"/>
      <c r="AN178" s="14"/>
      <c r="AO178" s="3"/>
      <c r="AP178" s="14">
        <v>0</v>
      </c>
      <c r="AQ178" s="14">
        <v>150</v>
      </c>
      <c r="AR178" s="3">
        <f t="shared" si="17"/>
        <v>0</v>
      </c>
      <c r="AZ178" s="1">
        <f t="shared" si="1"/>
        <v>0</v>
      </c>
    </row>
    <row r="179" spans="1:52" ht="15.75" customHeight="1" x14ac:dyDescent="0.3">
      <c r="A179" s="1" t="s">
        <v>674</v>
      </c>
      <c r="B179" s="2" t="s">
        <v>675</v>
      </c>
      <c r="C179" s="2">
        <v>160000027</v>
      </c>
      <c r="D179" s="1" t="s">
        <v>522</v>
      </c>
      <c r="E179" s="1" t="s">
        <v>523</v>
      </c>
      <c r="F179" s="1" t="s">
        <v>67</v>
      </c>
      <c r="G179" s="1" t="s">
        <v>86</v>
      </c>
      <c r="H179" s="1" t="s">
        <v>87</v>
      </c>
      <c r="I179" s="1" t="s">
        <v>70</v>
      </c>
      <c r="J179" s="1" t="s">
        <v>460</v>
      </c>
      <c r="K179" s="1">
        <v>6</v>
      </c>
      <c r="L179" s="1" t="s">
        <v>524</v>
      </c>
      <c r="M179" s="1" t="s">
        <v>525</v>
      </c>
      <c r="N179" s="1" t="s">
        <v>526</v>
      </c>
      <c r="O179" s="1" t="s">
        <v>74</v>
      </c>
      <c r="P179" s="1" t="s">
        <v>9</v>
      </c>
      <c r="Q179" s="1" t="s">
        <v>141</v>
      </c>
      <c r="R179" s="1" t="s">
        <v>676</v>
      </c>
      <c r="S179" s="2"/>
      <c r="T179" s="1">
        <v>53</v>
      </c>
      <c r="U179" s="1">
        <v>56</v>
      </c>
      <c r="V179" s="1">
        <v>44</v>
      </c>
      <c r="W179" s="1">
        <v>36</v>
      </c>
      <c r="X179" s="1">
        <v>49</v>
      </c>
      <c r="Y179" s="1">
        <v>62</v>
      </c>
      <c r="Z179" s="1">
        <v>60</v>
      </c>
      <c r="AB179" s="1">
        <v>49</v>
      </c>
      <c r="AC179" s="1">
        <v>62</v>
      </c>
      <c r="AD179" s="1">
        <v>77</v>
      </c>
      <c r="AE179" s="1" t="s">
        <v>77</v>
      </c>
      <c r="AF179" s="12">
        <v>49</v>
      </c>
      <c r="AG179" s="12">
        <v>0</v>
      </c>
      <c r="AH179" s="12">
        <v>49</v>
      </c>
      <c r="AI179" s="13">
        <v>45.804347826086953</v>
      </c>
      <c r="AJ179" s="13">
        <v>66</v>
      </c>
      <c r="AK179" s="13">
        <v>30</v>
      </c>
      <c r="AL179" s="13">
        <v>9.6784286264004926</v>
      </c>
      <c r="AM179" s="14">
        <v>30</v>
      </c>
      <c r="AN179" s="14">
        <v>30</v>
      </c>
      <c r="AO179" s="3">
        <f t="shared" ref="AO179:AO180" si="25">AN179/AM179</f>
        <v>1</v>
      </c>
      <c r="AP179" s="14">
        <v>1</v>
      </c>
      <c r="AQ179" s="14">
        <v>48</v>
      </c>
      <c r="AR179" s="3">
        <f t="shared" si="17"/>
        <v>2.0833333333333332E-2</v>
      </c>
      <c r="AS179" s="1">
        <v>0</v>
      </c>
      <c r="AT179" s="1">
        <v>0</v>
      </c>
      <c r="AU179" s="1">
        <v>3</v>
      </c>
      <c r="AV179" s="1">
        <v>3</v>
      </c>
      <c r="AW179" s="1">
        <v>0</v>
      </c>
      <c r="AX179" s="1">
        <v>3</v>
      </c>
      <c r="AY179" s="1">
        <v>5</v>
      </c>
      <c r="AZ179" s="1">
        <f t="shared" si="1"/>
        <v>14</v>
      </c>
    </row>
    <row r="180" spans="1:52" ht="15.75" customHeight="1" x14ac:dyDescent="0.3">
      <c r="A180" s="1" t="s">
        <v>677</v>
      </c>
      <c r="B180" s="2" t="s">
        <v>678</v>
      </c>
      <c r="C180" s="2" t="s">
        <v>679</v>
      </c>
      <c r="D180" s="1" t="s">
        <v>680</v>
      </c>
      <c r="E180" s="1" t="s">
        <v>681</v>
      </c>
      <c r="F180" s="1" t="s">
        <v>67</v>
      </c>
      <c r="G180" s="1" t="s">
        <v>68</v>
      </c>
      <c r="H180" s="1" t="s">
        <v>69</v>
      </c>
      <c r="I180" s="1" t="s">
        <v>70</v>
      </c>
      <c r="J180" s="1" t="s">
        <v>460</v>
      </c>
      <c r="K180" s="1">
        <v>6</v>
      </c>
      <c r="L180" s="1" t="s">
        <v>682</v>
      </c>
      <c r="M180" s="1" t="s">
        <v>572</v>
      </c>
      <c r="N180" s="1" t="s">
        <v>573</v>
      </c>
      <c r="O180" s="1" t="s">
        <v>150</v>
      </c>
      <c r="P180" s="1" t="s">
        <v>9</v>
      </c>
      <c r="Q180" s="1" t="s">
        <v>80</v>
      </c>
      <c r="R180" s="1" t="s">
        <v>225</v>
      </c>
      <c r="S180" s="2"/>
      <c r="AB180" s="1">
        <v>10</v>
      </c>
      <c r="AE180" s="1" t="s">
        <v>77</v>
      </c>
      <c r="AF180" s="12">
        <v>10</v>
      </c>
      <c r="AG180" s="12">
        <v>5</v>
      </c>
      <c r="AH180" s="12">
        <v>5</v>
      </c>
      <c r="AI180" s="13">
        <v>45.9</v>
      </c>
      <c r="AJ180" s="13">
        <v>64</v>
      </c>
      <c r="AK180" s="13">
        <v>33</v>
      </c>
      <c r="AL180" s="13">
        <v>11.090035567521371</v>
      </c>
      <c r="AM180" s="14">
        <v>16</v>
      </c>
      <c r="AN180" s="14">
        <v>15</v>
      </c>
      <c r="AO180" s="3">
        <f t="shared" si="25"/>
        <v>0.9375</v>
      </c>
      <c r="AP180" s="14">
        <v>0</v>
      </c>
      <c r="AQ180" s="14">
        <v>10</v>
      </c>
      <c r="AR180" s="3">
        <f t="shared" si="17"/>
        <v>0</v>
      </c>
      <c r="AZ180" s="1">
        <f t="shared" si="1"/>
        <v>0</v>
      </c>
    </row>
    <row r="181" spans="1:52" ht="15.75" customHeight="1" x14ac:dyDescent="0.3">
      <c r="A181" s="1" t="s">
        <v>683</v>
      </c>
      <c r="B181" s="2" t="s">
        <v>684</v>
      </c>
      <c r="C181" s="2">
        <v>260000043</v>
      </c>
      <c r="D181" s="1" t="s">
        <v>498</v>
      </c>
      <c r="E181" s="1" t="s">
        <v>499</v>
      </c>
      <c r="F181" s="1" t="s">
        <v>67</v>
      </c>
      <c r="G181" s="1" t="s">
        <v>68</v>
      </c>
      <c r="H181" s="1" t="s">
        <v>69</v>
      </c>
      <c r="I181" s="1" t="s">
        <v>70</v>
      </c>
      <c r="J181" s="1" t="s">
        <v>98</v>
      </c>
      <c r="K181" s="1">
        <v>6</v>
      </c>
      <c r="L181" s="1" t="s">
        <v>500</v>
      </c>
      <c r="M181" s="1" t="s">
        <v>483</v>
      </c>
      <c r="N181" s="1" t="s">
        <v>482</v>
      </c>
      <c r="O181" s="1" t="s">
        <v>150</v>
      </c>
      <c r="P181" s="1" t="s">
        <v>9</v>
      </c>
      <c r="Q181" s="1" t="s">
        <v>141</v>
      </c>
      <c r="R181" s="1" t="s">
        <v>685</v>
      </c>
      <c r="S181" s="2"/>
      <c r="T181" s="1">
        <v>13</v>
      </c>
      <c r="U181" s="1">
        <v>11</v>
      </c>
      <c r="AE181" s="1" t="s">
        <v>110</v>
      </c>
      <c r="AF181" s="12">
        <v>26</v>
      </c>
      <c r="AG181" s="12">
        <v>16</v>
      </c>
      <c r="AH181" s="12">
        <v>10</v>
      </c>
      <c r="AI181" s="12">
        <v>46</v>
      </c>
      <c r="AJ181" s="12">
        <v>66</v>
      </c>
      <c r="AK181" s="12">
        <v>30</v>
      </c>
      <c r="AL181" s="12">
        <v>11.696153213770756</v>
      </c>
      <c r="AM181" s="14"/>
      <c r="AN181" s="14"/>
      <c r="AO181" s="3"/>
      <c r="AP181" s="14">
        <v>0</v>
      </c>
      <c r="AQ181" s="14">
        <v>26</v>
      </c>
      <c r="AR181" s="3">
        <f t="shared" si="17"/>
        <v>0</v>
      </c>
      <c r="AZ181" s="1">
        <f t="shared" si="1"/>
        <v>0</v>
      </c>
    </row>
    <row r="182" spans="1:52" ht="15.75" customHeight="1" x14ac:dyDescent="0.3">
      <c r="A182" s="1" t="s">
        <v>686</v>
      </c>
      <c r="B182" s="2" t="s">
        <v>687</v>
      </c>
      <c r="C182" s="2">
        <v>160000010</v>
      </c>
      <c r="D182" s="1" t="s">
        <v>487</v>
      </c>
      <c r="E182" s="1" t="s">
        <v>488</v>
      </c>
      <c r="F182" s="1" t="s">
        <v>67</v>
      </c>
      <c r="G182" s="1" t="s">
        <v>86</v>
      </c>
      <c r="H182" s="1" t="s">
        <v>87</v>
      </c>
      <c r="I182" s="1" t="s">
        <v>70</v>
      </c>
      <c r="J182" s="1" t="s">
        <v>460</v>
      </c>
      <c r="K182" s="1">
        <v>6</v>
      </c>
      <c r="L182" s="1" t="s">
        <v>489</v>
      </c>
      <c r="M182" s="1" t="s">
        <v>490</v>
      </c>
      <c r="N182" s="1" t="s">
        <v>491</v>
      </c>
      <c r="O182" s="1" t="s">
        <v>108</v>
      </c>
      <c r="P182" s="1" t="s">
        <v>9</v>
      </c>
      <c r="Q182" s="1" t="s">
        <v>90</v>
      </c>
      <c r="R182" s="1" t="s">
        <v>688</v>
      </c>
      <c r="S182" s="2"/>
      <c r="T182" s="1">
        <v>26</v>
      </c>
      <c r="U182" s="1">
        <v>28</v>
      </c>
      <c r="AE182" s="1" t="s">
        <v>110</v>
      </c>
      <c r="AF182" s="12">
        <v>52</v>
      </c>
      <c r="AG182" s="12">
        <v>14</v>
      </c>
      <c r="AH182" s="12">
        <v>38</v>
      </c>
      <c r="AI182" s="12">
        <v>46.115384615384613</v>
      </c>
      <c r="AJ182" s="12">
        <v>64</v>
      </c>
      <c r="AK182" s="12">
        <v>27</v>
      </c>
      <c r="AL182" s="12">
        <v>12.118133950299676</v>
      </c>
      <c r="AM182" s="14">
        <v>4</v>
      </c>
      <c r="AN182" s="14">
        <v>4</v>
      </c>
      <c r="AO182" s="3">
        <f t="shared" ref="AO182:AO183" si="26">AN182/AM182</f>
        <v>1</v>
      </c>
      <c r="AP182" s="14">
        <v>0</v>
      </c>
      <c r="AQ182" s="14">
        <v>52</v>
      </c>
      <c r="AR182" s="3">
        <f t="shared" si="17"/>
        <v>0</v>
      </c>
      <c r="AZ182" s="1">
        <f t="shared" si="1"/>
        <v>0</v>
      </c>
    </row>
    <row r="183" spans="1:52" ht="15.75" customHeight="1" x14ac:dyDescent="0.3">
      <c r="A183" s="1" t="s">
        <v>689</v>
      </c>
      <c r="B183" s="2" t="s">
        <v>690</v>
      </c>
      <c r="C183" s="2" t="s">
        <v>679</v>
      </c>
      <c r="D183" s="1" t="s">
        <v>680</v>
      </c>
      <c r="E183" s="1" t="s">
        <v>681</v>
      </c>
      <c r="F183" s="1" t="s">
        <v>67</v>
      </c>
      <c r="G183" s="1" t="s">
        <v>68</v>
      </c>
      <c r="H183" s="1" t="s">
        <v>69</v>
      </c>
      <c r="I183" s="1" t="s">
        <v>70</v>
      </c>
      <c r="J183" s="1" t="s">
        <v>460</v>
      </c>
      <c r="K183" s="1">
        <v>6</v>
      </c>
      <c r="L183" s="1" t="s">
        <v>682</v>
      </c>
      <c r="M183" s="1" t="s">
        <v>572</v>
      </c>
      <c r="N183" s="1" t="s">
        <v>573</v>
      </c>
      <c r="O183" s="1" t="s">
        <v>150</v>
      </c>
      <c r="P183" s="1" t="s">
        <v>9</v>
      </c>
      <c r="Q183" s="1" t="s">
        <v>80</v>
      </c>
      <c r="R183" s="1" t="s">
        <v>534</v>
      </c>
      <c r="S183" s="2"/>
      <c r="AB183" s="1">
        <v>45</v>
      </c>
      <c r="AE183" s="1" t="s">
        <v>77</v>
      </c>
      <c r="AF183" s="12">
        <v>45</v>
      </c>
      <c r="AG183" s="12">
        <v>18</v>
      </c>
      <c r="AH183" s="12">
        <v>27</v>
      </c>
      <c r="AI183" s="13">
        <v>46.177777777777777</v>
      </c>
      <c r="AJ183" s="13">
        <v>60</v>
      </c>
      <c r="AK183" s="13">
        <v>30</v>
      </c>
      <c r="AL183" s="13">
        <v>8.0940182426982119</v>
      </c>
      <c r="AM183" s="14">
        <v>72</v>
      </c>
      <c r="AN183" s="14">
        <v>71</v>
      </c>
      <c r="AO183" s="3">
        <f t="shared" si="26"/>
        <v>0.98611111111111116</v>
      </c>
      <c r="AP183" s="14">
        <v>1</v>
      </c>
      <c r="AQ183" s="14">
        <v>44</v>
      </c>
      <c r="AR183" s="3">
        <f t="shared" si="17"/>
        <v>2.2727272727272728E-2</v>
      </c>
      <c r="AZ183" s="1">
        <f t="shared" si="1"/>
        <v>0</v>
      </c>
    </row>
    <row r="184" spans="1:52" ht="15.75" customHeight="1" x14ac:dyDescent="0.3">
      <c r="A184" s="1" t="s">
        <v>691</v>
      </c>
      <c r="B184" s="2" t="s">
        <v>692</v>
      </c>
      <c r="C184" s="2">
        <v>160000042</v>
      </c>
      <c r="D184" s="1" t="s">
        <v>458</v>
      </c>
      <c r="E184" s="1" t="s">
        <v>459</v>
      </c>
      <c r="F184" s="1" t="s">
        <v>67</v>
      </c>
      <c r="G184" s="1" t="s">
        <v>86</v>
      </c>
      <c r="H184" s="1" t="s">
        <v>87</v>
      </c>
      <c r="I184" s="1" t="s">
        <v>70</v>
      </c>
      <c r="J184" s="1" t="s">
        <v>460</v>
      </c>
      <c r="K184" s="1">
        <v>6</v>
      </c>
      <c r="L184" s="1" t="s">
        <v>461</v>
      </c>
      <c r="M184" s="1" t="s">
        <v>462</v>
      </c>
      <c r="N184" s="1" t="s">
        <v>463</v>
      </c>
      <c r="O184" s="1" t="s">
        <v>150</v>
      </c>
      <c r="P184" s="1" t="s">
        <v>9</v>
      </c>
      <c r="Q184" s="1" t="s">
        <v>80</v>
      </c>
      <c r="R184" s="1" t="s">
        <v>315</v>
      </c>
      <c r="S184" s="2"/>
      <c r="T184" s="1">
        <v>20</v>
      </c>
      <c r="U184" s="1">
        <v>16</v>
      </c>
      <c r="AE184" s="1" t="s">
        <v>110</v>
      </c>
      <c r="AF184" s="12">
        <v>40</v>
      </c>
      <c r="AG184" s="12">
        <v>24</v>
      </c>
      <c r="AH184" s="12">
        <v>16</v>
      </c>
      <c r="AI184" s="12">
        <v>46.25</v>
      </c>
      <c r="AJ184" s="12">
        <v>59</v>
      </c>
      <c r="AK184" s="12">
        <v>30</v>
      </c>
      <c r="AL184" s="12">
        <v>9.1251975742572711</v>
      </c>
      <c r="AM184" s="14"/>
      <c r="AN184" s="14"/>
      <c r="AO184" s="3"/>
      <c r="AP184" s="14">
        <v>0</v>
      </c>
      <c r="AQ184" s="14">
        <v>40</v>
      </c>
      <c r="AR184" s="3">
        <f t="shared" si="17"/>
        <v>0</v>
      </c>
      <c r="AZ184" s="1">
        <f t="shared" si="1"/>
        <v>0</v>
      </c>
    </row>
    <row r="185" spans="1:52" ht="15.75" customHeight="1" x14ac:dyDescent="0.3">
      <c r="A185" s="1" t="s">
        <v>693</v>
      </c>
      <c r="B185" s="2" t="s">
        <v>694</v>
      </c>
      <c r="C185" s="2">
        <v>160000042</v>
      </c>
      <c r="D185" s="1" t="s">
        <v>458</v>
      </c>
      <c r="E185" s="1" t="s">
        <v>459</v>
      </c>
      <c r="F185" s="1" t="s">
        <v>67</v>
      </c>
      <c r="G185" s="1" t="s">
        <v>86</v>
      </c>
      <c r="H185" s="1" t="s">
        <v>87</v>
      </c>
      <c r="I185" s="1" t="s">
        <v>70</v>
      </c>
      <c r="J185" s="1" t="s">
        <v>460</v>
      </c>
      <c r="K185" s="1">
        <v>6</v>
      </c>
      <c r="L185" s="1" t="s">
        <v>461</v>
      </c>
      <c r="M185" s="1" t="s">
        <v>462</v>
      </c>
      <c r="N185" s="1" t="s">
        <v>463</v>
      </c>
      <c r="O185" s="1" t="s">
        <v>150</v>
      </c>
      <c r="P185" s="1" t="s">
        <v>9</v>
      </c>
      <c r="Q185" s="1" t="s">
        <v>90</v>
      </c>
      <c r="R185" s="1" t="s">
        <v>695</v>
      </c>
      <c r="S185" s="2"/>
      <c r="T185" s="1">
        <v>37</v>
      </c>
      <c r="U185" s="1">
        <v>38</v>
      </c>
      <c r="AE185" s="1" t="s">
        <v>110</v>
      </c>
      <c r="AF185" s="12">
        <v>74</v>
      </c>
      <c r="AG185" s="12">
        <v>20</v>
      </c>
      <c r="AH185" s="12">
        <v>54</v>
      </c>
      <c r="AI185" s="12">
        <v>46.567567567567565</v>
      </c>
      <c r="AJ185" s="12">
        <v>67</v>
      </c>
      <c r="AK185" s="12">
        <v>27</v>
      </c>
      <c r="AL185" s="12">
        <v>8.5481409996657494</v>
      </c>
      <c r="AM185" s="14"/>
      <c r="AN185" s="14"/>
      <c r="AO185" s="3"/>
      <c r="AP185" s="14">
        <v>0</v>
      </c>
      <c r="AQ185" s="14">
        <v>74</v>
      </c>
      <c r="AR185" s="3">
        <f t="shared" si="17"/>
        <v>0</v>
      </c>
      <c r="AZ185" s="1">
        <f t="shared" si="1"/>
        <v>0</v>
      </c>
    </row>
    <row r="186" spans="1:52" ht="15.75" customHeight="1" x14ac:dyDescent="0.3">
      <c r="A186" s="1" t="s">
        <v>696</v>
      </c>
      <c r="B186" s="2" t="s">
        <v>697</v>
      </c>
      <c r="C186" s="2">
        <v>260000052</v>
      </c>
      <c r="D186" s="1" t="s">
        <v>569</v>
      </c>
      <c r="E186" s="1" t="s">
        <v>570</v>
      </c>
      <c r="F186" s="1" t="s">
        <v>67</v>
      </c>
      <c r="G186" s="1" t="s">
        <v>68</v>
      </c>
      <c r="H186" s="1" t="s">
        <v>439</v>
      </c>
      <c r="I186" s="1" t="s">
        <v>70</v>
      </c>
      <c r="J186" s="1" t="s">
        <v>460</v>
      </c>
      <c r="K186" s="1">
        <v>6</v>
      </c>
      <c r="L186" s="1" t="s">
        <v>571</v>
      </c>
      <c r="M186" s="1" t="s">
        <v>572</v>
      </c>
      <c r="N186" s="1" t="s">
        <v>573</v>
      </c>
      <c r="O186" s="1" t="s">
        <v>150</v>
      </c>
      <c r="P186" s="1" t="s">
        <v>9</v>
      </c>
      <c r="Q186" s="1" t="s">
        <v>80</v>
      </c>
      <c r="R186" s="1" t="s">
        <v>315</v>
      </c>
      <c r="S186" s="2"/>
      <c r="T186" s="1">
        <v>2152</v>
      </c>
      <c r="U186" s="1">
        <v>2282</v>
      </c>
      <c r="V186" s="1">
        <v>2994</v>
      </c>
      <c r="W186" s="1">
        <v>2747</v>
      </c>
      <c r="X186" s="1">
        <v>2394</v>
      </c>
      <c r="Y186" s="1">
        <v>2280</v>
      </c>
      <c r="Z186" s="1">
        <v>1872</v>
      </c>
      <c r="AA186" s="1">
        <v>1542</v>
      </c>
      <c r="AB186" s="1">
        <v>942</v>
      </c>
      <c r="AE186" s="1" t="s">
        <v>77</v>
      </c>
      <c r="AF186" s="12">
        <v>942</v>
      </c>
      <c r="AG186" s="12">
        <v>579</v>
      </c>
      <c r="AH186" s="12">
        <v>363</v>
      </c>
      <c r="AI186" s="13">
        <v>46.656716417910445</v>
      </c>
      <c r="AJ186" s="13">
        <v>70</v>
      </c>
      <c r="AK186" s="13">
        <v>24</v>
      </c>
      <c r="AL186" s="13">
        <v>8.9835294971886874</v>
      </c>
      <c r="AM186" s="14">
        <v>595</v>
      </c>
      <c r="AN186" s="14">
        <v>489</v>
      </c>
      <c r="AO186" s="3">
        <f>AN186/AM186</f>
        <v>0.82184873949579829</v>
      </c>
      <c r="AP186" s="14">
        <v>184</v>
      </c>
      <c r="AQ186" s="14">
        <v>757</v>
      </c>
      <c r="AR186" s="3">
        <f t="shared" si="17"/>
        <v>0.24306472919418759</v>
      </c>
      <c r="AS186" s="1">
        <v>191</v>
      </c>
      <c r="AT186" s="1">
        <v>354</v>
      </c>
      <c r="AU186" s="1">
        <v>296</v>
      </c>
      <c r="AV186" s="1">
        <v>622</v>
      </c>
      <c r="AW186" s="1">
        <v>0</v>
      </c>
      <c r="AX186" s="1">
        <v>137</v>
      </c>
      <c r="AY186" s="1">
        <v>189</v>
      </c>
      <c r="AZ186" s="1">
        <f t="shared" si="1"/>
        <v>1789</v>
      </c>
    </row>
    <row r="187" spans="1:52" ht="15.75" customHeight="1" x14ac:dyDescent="0.3">
      <c r="A187" s="1" t="s">
        <v>698</v>
      </c>
      <c r="B187" s="2" t="s">
        <v>699</v>
      </c>
      <c r="C187" s="2">
        <v>160000042</v>
      </c>
      <c r="D187" s="1" t="s">
        <v>458</v>
      </c>
      <c r="E187" s="1" t="s">
        <v>459</v>
      </c>
      <c r="F187" s="1" t="s">
        <v>67</v>
      </c>
      <c r="G187" s="1" t="s">
        <v>86</v>
      </c>
      <c r="H187" s="1" t="s">
        <v>87</v>
      </c>
      <c r="I187" s="1" t="s">
        <v>70</v>
      </c>
      <c r="J187" s="1" t="s">
        <v>460</v>
      </c>
      <c r="K187" s="1">
        <v>6</v>
      </c>
      <c r="L187" s="1" t="s">
        <v>461</v>
      </c>
      <c r="M187" s="1" t="s">
        <v>462</v>
      </c>
      <c r="N187" s="1" t="s">
        <v>463</v>
      </c>
      <c r="O187" s="1" t="s">
        <v>150</v>
      </c>
      <c r="P187" s="1" t="s">
        <v>9</v>
      </c>
      <c r="Q187" s="1" t="s">
        <v>90</v>
      </c>
      <c r="R187" s="1" t="s">
        <v>700</v>
      </c>
      <c r="S187" s="2"/>
      <c r="T187" s="1">
        <v>9</v>
      </c>
      <c r="U187" s="1">
        <v>14</v>
      </c>
      <c r="AE187" s="1" t="s">
        <v>110</v>
      </c>
      <c r="AF187" s="12">
        <v>18</v>
      </c>
      <c r="AG187" s="12">
        <v>2</v>
      </c>
      <c r="AH187" s="12">
        <v>16</v>
      </c>
      <c r="AI187" s="12">
        <v>46.777777777777779</v>
      </c>
      <c r="AJ187" s="12">
        <v>58</v>
      </c>
      <c r="AK187" s="12">
        <v>36</v>
      </c>
      <c r="AL187" s="12">
        <v>5.9759868055956664</v>
      </c>
      <c r="AM187" s="14"/>
      <c r="AN187" s="14"/>
      <c r="AO187" s="3"/>
      <c r="AP187" s="14">
        <v>0</v>
      </c>
      <c r="AQ187" s="14">
        <v>18</v>
      </c>
      <c r="AR187" s="3">
        <f t="shared" si="17"/>
        <v>0</v>
      </c>
      <c r="AZ187" s="1">
        <f t="shared" si="1"/>
        <v>0</v>
      </c>
    </row>
    <row r="188" spans="1:52" ht="15.75" customHeight="1" x14ac:dyDescent="0.3">
      <c r="A188" s="1" t="s">
        <v>701</v>
      </c>
      <c r="B188" s="2" t="s">
        <v>702</v>
      </c>
      <c r="C188" s="2">
        <v>160000035</v>
      </c>
      <c r="D188" s="1" t="s">
        <v>669</v>
      </c>
      <c r="E188" s="1" t="s">
        <v>670</v>
      </c>
      <c r="F188" s="1" t="s">
        <v>67</v>
      </c>
      <c r="G188" s="1" t="s">
        <v>86</v>
      </c>
      <c r="H188" s="1" t="s">
        <v>87</v>
      </c>
      <c r="I188" s="1" t="s">
        <v>70</v>
      </c>
      <c r="J188" s="1" t="s">
        <v>440</v>
      </c>
      <c r="K188" s="1">
        <v>6</v>
      </c>
      <c r="L188" s="1" t="s">
        <v>671</v>
      </c>
      <c r="M188" s="1" t="s">
        <v>672</v>
      </c>
      <c r="N188" s="1" t="s">
        <v>673</v>
      </c>
      <c r="O188" s="1" t="s">
        <v>413</v>
      </c>
      <c r="P188" s="1" t="s">
        <v>9</v>
      </c>
      <c r="Q188" s="1" t="s">
        <v>80</v>
      </c>
      <c r="R188" s="1" t="s">
        <v>315</v>
      </c>
      <c r="S188" s="2"/>
      <c r="T188" s="1">
        <v>16</v>
      </c>
      <c r="AE188" s="1" t="s">
        <v>110</v>
      </c>
      <c r="AF188" s="12">
        <v>32</v>
      </c>
      <c r="AG188" s="12">
        <v>16</v>
      </c>
      <c r="AH188" s="12">
        <v>16</v>
      </c>
      <c r="AI188" s="12">
        <v>47.25</v>
      </c>
      <c r="AJ188" s="12">
        <v>57</v>
      </c>
      <c r="AK188" s="12">
        <v>33</v>
      </c>
      <c r="AL188" s="12">
        <v>6.2990014569643265</v>
      </c>
      <c r="AM188" s="14"/>
      <c r="AN188" s="14"/>
      <c r="AO188" s="3"/>
      <c r="AP188" s="14">
        <v>0</v>
      </c>
      <c r="AQ188" s="14">
        <v>32</v>
      </c>
      <c r="AR188" s="3">
        <f t="shared" si="17"/>
        <v>0</v>
      </c>
      <c r="AZ188" s="1">
        <f t="shared" si="1"/>
        <v>0</v>
      </c>
    </row>
    <row r="189" spans="1:52" ht="15.75" customHeight="1" x14ac:dyDescent="0.3">
      <c r="A189" s="1" t="s">
        <v>703</v>
      </c>
      <c r="B189" s="2" t="s">
        <v>704</v>
      </c>
      <c r="C189" s="2">
        <v>160000027</v>
      </c>
      <c r="D189" s="1" t="s">
        <v>522</v>
      </c>
      <c r="E189" s="1" t="s">
        <v>523</v>
      </c>
      <c r="F189" s="1" t="s">
        <v>67</v>
      </c>
      <c r="G189" s="1" t="s">
        <v>86</v>
      </c>
      <c r="H189" s="1" t="s">
        <v>87</v>
      </c>
      <c r="I189" s="1" t="s">
        <v>70</v>
      </c>
      <c r="J189" s="1" t="s">
        <v>460</v>
      </c>
      <c r="K189" s="1">
        <v>6</v>
      </c>
      <c r="L189" s="1" t="s">
        <v>524</v>
      </c>
      <c r="M189" s="1" t="s">
        <v>525</v>
      </c>
      <c r="N189" s="1" t="s">
        <v>526</v>
      </c>
      <c r="O189" s="1" t="s">
        <v>74</v>
      </c>
      <c r="P189" s="1" t="s">
        <v>9</v>
      </c>
      <c r="Q189" s="1" t="s">
        <v>80</v>
      </c>
      <c r="R189" s="1" t="s">
        <v>705</v>
      </c>
      <c r="S189" s="2"/>
      <c r="T189" s="1">
        <v>32</v>
      </c>
      <c r="U189" s="1">
        <v>29</v>
      </c>
      <c r="V189" s="1">
        <v>48</v>
      </c>
      <c r="W189" s="1">
        <v>46</v>
      </c>
      <c r="X189" s="1">
        <v>62</v>
      </c>
      <c r="Y189" s="1">
        <v>58</v>
      </c>
      <c r="Z189" s="1">
        <v>55</v>
      </c>
      <c r="AB189" s="1">
        <v>43</v>
      </c>
      <c r="AC189" s="1">
        <v>29</v>
      </c>
      <c r="AD189" s="1">
        <v>29</v>
      </c>
      <c r="AE189" s="1" t="s">
        <v>77</v>
      </c>
      <c r="AF189" s="12">
        <v>43</v>
      </c>
      <c r="AG189" s="12">
        <v>13</v>
      </c>
      <c r="AH189" s="12">
        <v>30</v>
      </c>
      <c r="AI189" s="13">
        <v>47.30952380952381</v>
      </c>
      <c r="AJ189" s="13">
        <v>68</v>
      </c>
      <c r="AK189" s="13">
        <v>33</v>
      </c>
      <c r="AL189" s="13">
        <v>9.2406527465512927</v>
      </c>
      <c r="AM189" s="14">
        <v>13</v>
      </c>
      <c r="AN189" s="14">
        <v>13</v>
      </c>
      <c r="AO189" s="3">
        <f>AN189/AM189</f>
        <v>1</v>
      </c>
      <c r="AP189" s="14">
        <v>0</v>
      </c>
      <c r="AQ189" s="14">
        <v>43</v>
      </c>
      <c r="AR189" s="3">
        <f t="shared" si="17"/>
        <v>0</v>
      </c>
      <c r="AS189" s="1">
        <v>0</v>
      </c>
      <c r="AT189" s="1">
        <v>0</v>
      </c>
      <c r="AU189" s="1">
        <v>7</v>
      </c>
      <c r="AV189" s="1">
        <v>2</v>
      </c>
      <c r="AW189" s="1">
        <v>0</v>
      </c>
      <c r="AX189" s="1">
        <v>3</v>
      </c>
      <c r="AY189" s="1">
        <v>2</v>
      </c>
      <c r="AZ189" s="1">
        <f t="shared" si="1"/>
        <v>14</v>
      </c>
    </row>
    <row r="190" spans="1:52" ht="15.75" customHeight="1" x14ac:dyDescent="0.3">
      <c r="A190" s="1" t="s">
        <v>706</v>
      </c>
      <c r="B190" s="2" t="s">
        <v>707</v>
      </c>
      <c r="C190" s="2">
        <v>160000042</v>
      </c>
      <c r="D190" s="1" t="s">
        <v>458</v>
      </c>
      <c r="E190" s="1" t="s">
        <v>459</v>
      </c>
      <c r="F190" s="1" t="s">
        <v>67</v>
      </c>
      <c r="G190" s="1" t="s">
        <v>86</v>
      </c>
      <c r="H190" s="1" t="s">
        <v>87</v>
      </c>
      <c r="I190" s="1" t="s">
        <v>70</v>
      </c>
      <c r="J190" s="1" t="s">
        <v>460</v>
      </c>
      <c r="K190" s="1">
        <v>6</v>
      </c>
      <c r="L190" s="1" t="s">
        <v>461</v>
      </c>
      <c r="M190" s="1" t="s">
        <v>462</v>
      </c>
      <c r="N190" s="1" t="s">
        <v>463</v>
      </c>
      <c r="O190" s="1" t="s">
        <v>150</v>
      </c>
      <c r="P190" s="1" t="s">
        <v>9</v>
      </c>
      <c r="Q190" s="1" t="s">
        <v>90</v>
      </c>
      <c r="R190" s="1" t="s">
        <v>708</v>
      </c>
      <c r="S190" s="2"/>
      <c r="T190" s="1">
        <v>9</v>
      </c>
      <c r="U190" s="1">
        <v>2</v>
      </c>
      <c r="AE190" s="1" t="s">
        <v>110</v>
      </c>
      <c r="AF190" s="12">
        <v>18</v>
      </c>
      <c r="AG190" s="12">
        <v>2</v>
      </c>
      <c r="AH190" s="12">
        <v>16</v>
      </c>
      <c r="AI190" s="12">
        <v>47.333333333333336</v>
      </c>
      <c r="AJ190" s="12">
        <v>62</v>
      </c>
      <c r="AK190" s="12">
        <v>35</v>
      </c>
      <c r="AL190" s="12">
        <v>8.2176281106354452</v>
      </c>
      <c r="AM190" s="14"/>
      <c r="AN190" s="14"/>
      <c r="AO190" s="3"/>
      <c r="AP190" s="14">
        <v>0</v>
      </c>
      <c r="AQ190" s="14">
        <v>18</v>
      </c>
      <c r="AR190" s="3">
        <f t="shared" si="17"/>
        <v>0</v>
      </c>
      <c r="AZ190" s="1">
        <f t="shared" si="1"/>
        <v>0</v>
      </c>
    </row>
    <row r="191" spans="1:52" ht="15.75" customHeight="1" x14ac:dyDescent="0.3">
      <c r="A191" s="1" t="s">
        <v>709</v>
      </c>
      <c r="B191" s="2" t="s">
        <v>710</v>
      </c>
      <c r="C191" s="2">
        <v>260000052</v>
      </c>
      <c r="D191" s="1" t="s">
        <v>569</v>
      </c>
      <c r="E191" s="1" t="s">
        <v>570</v>
      </c>
      <c r="F191" s="1" t="s">
        <v>67</v>
      </c>
      <c r="G191" s="1" t="s">
        <v>68</v>
      </c>
      <c r="H191" s="1" t="s">
        <v>439</v>
      </c>
      <c r="I191" s="1" t="s">
        <v>70</v>
      </c>
      <c r="J191" s="1" t="s">
        <v>460</v>
      </c>
      <c r="K191" s="1">
        <v>6</v>
      </c>
      <c r="L191" s="1" t="s">
        <v>571</v>
      </c>
      <c r="M191" s="1" t="s">
        <v>572</v>
      </c>
      <c r="N191" s="1" t="s">
        <v>573</v>
      </c>
      <c r="O191" s="1" t="s">
        <v>150</v>
      </c>
      <c r="P191" s="1" t="s">
        <v>9</v>
      </c>
      <c r="Q191" s="1" t="s">
        <v>141</v>
      </c>
      <c r="R191" s="1" t="s">
        <v>711</v>
      </c>
      <c r="S191" s="2"/>
      <c r="T191" s="1">
        <v>43</v>
      </c>
      <c r="U191" s="1">
        <v>70</v>
      </c>
      <c r="V191" s="1">
        <v>61</v>
      </c>
      <c r="W191" s="1">
        <v>57</v>
      </c>
      <c r="X191" s="1">
        <v>84</v>
      </c>
      <c r="Y191" s="1">
        <v>65</v>
      </c>
      <c r="Z191" s="1">
        <v>67</v>
      </c>
      <c r="AA191" s="1">
        <v>40</v>
      </c>
      <c r="AB191" s="1">
        <v>18</v>
      </c>
      <c r="AE191" s="1" t="s">
        <v>77</v>
      </c>
      <c r="AF191" s="12">
        <v>18</v>
      </c>
      <c r="AG191" s="12">
        <v>9</v>
      </c>
      <c r="AH191" s="12">
        <v>9</v>
      </c>
      <c r="AI191" s="13">
        <v>47.823529411764703</v>
      </c>
      <c r="AJ191" s="13">
        <v>69</v>
      </c>
      <c r="AK191" s="13">
        <v>31</v>
      </c>
      <c r="AL191" s="13">
        <v>10.84686183947716</v>
      </c>
      <c r="AM191" s="14"/>
      <c r="AN191" s="14"/>
      <c r="AO191" s="3"/>
      <c r="AP191" s="14">
        <v>0</v>
      </c>
      <c r="AQ191" s="14">
        <v>18</v>
      </c>
      <c r="AR191" s="3">
        <f t="shared" si="17"/>
        <v>0</v>
      </c>
      <c r="AS191" s="1">
        <v>6</v>
      </c>
      <c r="AT191" s="1">
        <v>1</v>
      </c>
      <c r="AU191" s="1">
        <v>18</v>
      </c>
      <c r="AV191" s="1">
        <v>17</v>
      </c>
      <c r="AW191" s="1">
        <v>0</v>
      </c>
      <c r="AX191" s="1">
        <v>1</v>
      </c>
      <c r="AY191" s="1">
        <v>19</v>
      </c>
      <c r="AZ191" s="1">
        <f t="shared" si="1"/>
        <v>62</v>
      </c>
    </row>
    <row r="192" spans="1:52" ht="15.75" customHeight="1" x14ac:dyDescent="0.3">
      <c r="A192" s="1" t="s">
        <v>712</v>
      </c>
      <c r="B192" s="2" t="s">
        <v>713</v>
      </c>
      <c r="C192" s="2">
        <v>260000039</v>
      </c>
      <c r="D192" s="1" t="s">
        <v>544</v>
      </c>
      <c r="E192" s="1" t="s">
        <v>545</v>
      </c>
      <c r="F192" s="1" t="s">
        <v>67</v>
      </c>
      <c r="G192" s="1" t="s">
        <v>68</v>
      </c>
      <c r="H192" s="1" t="s">
        <v>69</v>
      </c>
      <c r="I192" s="1" t="s">
        <v>70</v>
      </c>
      <c r="J192" s="1" t="s">
        <v>98</v>
      </c>
      <c r="K192" s="1">
        <v>6</v>
      </c>
      <c r="L192" s="1" t="s">
        <v>546</v>
      </c>
      <c r="M192" s="1" t="s">
        <v>107</v>
      </c>
      <c r="N192" s="1" t="s">
        <v>106</v>
      </c>
      <c r="O192" s="1" t="s">
        <v>108</v>
      </c>
      <c r="P192" s="1" t="s">
        <v>9</v>
      </c>
      <c r="Q192" s="1" t="s">
        <v>80</v>
      </c>
      <c r="R192" s="1" t="s">
        <v>335</v>
      </c>
      <c r="S192" s="2"/>
      <c r="T192" s="1">
        <v>82</v>
      </c>
      <c r="U192" s="1">
        <v>130</v>
      </c>
      <c r="V192" s="1">
        <v>94</v>
      </c>
      <c r="W192" s="1">
        <v>189</v>
      </c>
      <c r="X192" s="1">
        <v>89</v>
      </c>
      <c r="Y192" s="1">
        <v>156</v>
      </c>
      <c r="Z192" s="1">
        <v>49</v>
      </c>
      <c r="AA192" s="1">
        <v>110</v>
      </c>
      <c r="AC192" s="1">
        <v>92</v>
      </c>
      <c r="AD192" s="1">
        <v>50</v>
      </c>
      <c r="AE192" s="1" t="s">
        <v>93</v>
      </c>
      <c r="AF192" s="15">
        <v>184</v>
      </c>
      <c r="AG192" s="15">
        <v>104</v>
      </c>
      <c r="AH192" s="15">
        <v>80</v>
      </c>
      <c r="AI192" s="13">
        <v>48.717391304347828</v>
      </c>
      <c r="AJ192" s="13">
        <v>66</v>
      </c>
      <c r="AK192" s="13">
        <v>66</v>
      </c>
      <c r="AL192" s="13">
        <v>27</v>
      </c>
      <c r="AM192" s="14">
        <v>37</v>
      </c>
      <c r="AN192" s="14">
        <v>37</v>
      </c>
      <c r="AO192" s="3">
        <f>AN192/AM192</f>
        <v>1</v>
      </c>
      <c r="AP192" s="14">
        <v>0</v>
      </c>
      <c r="AQ192" s="14">
        <v>184</v>
      </c>
      <c r="AR192" s="3">
        <f t="shared" si="17"/>
        <v>0</v>
      </c>
      <c r="AS192" s="1">
        <v>1</v>
      </c>
      <c r="AT192" s="1">
        <v>27</v>
      </c>
      <c r="AU192" s="1">
        <v>16</v>
      </c>
      <c r="AV192" s="1">
        <v>0</v>
      </c>
      <c r="AW192" s="1">
        <v>20</v>
      </c>
      <c r="AX192" s="1">
        <v>0</v>
      </c>
      <c r="AY192" s="1">
        <v>16</v>
      </c>
      <c r="AZ192" s="1">
        <f t="shared" si="1"/>
        <v>80</v>
      </c>
    </row>
    <row r="193" spans="1:52" ht="15.75" customHeight="1" x14ac:dyDescent="0.3">
      <c r="A193" s="1" t="s">
        <v>714</v>
      </c>
      <c r="B193" s="2" t="s">
        <v>715</v>
      </c>
      <c r="C193" s="2">
        <v>160000028</v>
      </c>
      <c r="D193" s="1" t="s">
        <v>610</v>
      </c>
      <c r="E193" s="1" t="s">
        <v>611</v>
      </c>
      <c r="F193" s="1" t="s">
        <v>67</v>
      </c>
      <c r="G193" s="1" t="s">
        <v>86</v>
      </c>
      <c r="H193" s="1" t="s">
        <v>87</v>
      </c>
      <c r="I193" s="1" t="s">
        <v>70</v>
      </c>
      <c r="J193" s="1" t="s">
        <v>511</v>
      </c>
      <c r="K193" s="1">
        <v>6</v>
      </c>
      <c r="L193" s="1" t="s">
        <v>612</v>
      </c>
      <c r="M193" s="1" t="s">
        <v>613</v>
      </c>
      <c r="N193" s="1" t="s">
        <v>74</v>
      </c>
      <c r="O193" s="1" t="s">
        <v>74</v>
      </c>
      <c r="P193" s="1" t="s">
        <v>9</v>
      </c>
      <c r="Q193" s="1" t="s">
        <v>90</v>
      </c>
      <c r="R193" s="1" t="s">
        <v>417</v>
      </c>
      <c r="S193" s="2"/>
      <c r="T193" s="1">
        <v>30</v>
      </c>
      <c r="U193" s="1">
        <v>43</v>
      </c>
      <c r="AE193" s="1" t="s">
        <v>110</v>
      </c>
      <c r="AF193" s="12">
        <v>60</v>
      </c>
      <c r="AG193" s="12">
        <v>16</v>
      </c>
      <c r="AH193" s="12">
        <v>44</v>
      </c>
      <c r="AI193" s="12">
        <v>48.8</v>
      </c>
      <c r="AJ193" s="12">
        <v>70</v>
      </c>
      <c r="AK193" s="12">
        <v>30</v>
      </c>
      <c r="AL193" s="12">
        <v>9.4614292825025501</v>
      </c>
      <c r="AM193" s="14"/>
      <c r="AN193" s="14"/>
      <c r="AO193" s="3"/>
      <c r="AP193" s="14">
        <v>0</v>
      </c>
      <c r="AQ193" s="14">
        <v>60</v>
      </c>
      <c r="AR193" s="3">
        <f t="shared" si="17"/>
        <v>0</v>
      </c>
      <c r="AS193" s="1">
        <v>0</v>
      </c>
      <c r="AT193" s="1">
        <v>0</v>
      </c>
      <c r="AU193" s="1">
        <v>10</v>
      </c>
      <c r="AV193" s="1">
        <v>0</v>
      </c>
      <c r="AW193" s="1">
        <v>0</v>
      </c>
      <c r="AX193" s="1">
        <v>0</v>
      </c>
      <c r="AY193" s="1">
        <v>0</v>
      </c>
      <c r="AZ193" s="1">
        <f t="shared" si="1"/>
        <v>10</v>
      </c>
    </row>
    <row r="194" spans="1:52" ht="15.75" customHeight="1" x14ac:dyDescent="0.3">
      <c r="A194" s="1" t="s">
        <v>716</v>
      </c>
      <c r="B194" s="2" t="s">
        <v>717</v>
      </c>
      <c r="C194" s="2">
        <v>160000027</v>
      </c>
      <c r="D194" s="1" t="s">
        <v>522</v>
      </c>
      <c r="E194" s="1" t="s">
        <v>523</v>
      </c>
      <c r="F194" s="1" t="s">
        <v>67</v>
      </c>
      <c r="G194" s="1" t="s">
        <v>86</v>
      </c>
      <c r="H194" s="1" t="s">
        <v>87</v>
      </c>
      <c r="I194" s="1" t="s">
        <v>70</v>
      </c>
      <c r="J194" s="1" t="s">
        <v>460</v>
      </c>
      <c r="K194" s="1">
        <v>6</v>
      </c>
      <c r="L194" s="1" t="s">
        <v>524</v>
      </c>
      <c r="M194" s="1" t="s">
        <v>525</v>
      </c>
      <c r="N194" s="1" t="s">
        <v>526</v>
      </c>
      <c r="O194" s="1" t="s">
        <v>74</v>
      </c>
      <c r="P194" s="1" t="s">
        <v>9</v>
      </c>
      <c r="Q194" s="1" t="s">
        <v>141</v>
      </c>
      <c r="R194" s="1" t="s">
        <v>338</v>
      </c>
      <c r="S194" s="2"/>
      <c r="AB194" s="1">
        <v>27</v>
      </c>
      <c r="AC194" s="1">
        <v>44</v>
      </c>
      <c r="AD194" s="1">
        <v>73</v>
      </c>
      <c r="AE194" s="1" t="s">
        <v>77</v>
      </c>
      <c r="AF194" s="12">
        <v>27</v>
      </c>
      <c r="AG194" s="12">
        <v>5</v>
      </c>
      <c r="AH194" s="12">
        <v>22</v>
      </c>
      <c r="AI194" s="13">
        <v>48.851851851851855</v>
      </c>
      <c r="AJ194" s="13">
        <v>69</v>
      </c>
      <c r="AK194" s="13">
        <v>29</v>
      </c>
      <c r="AL194" s="13">
        <v>11.857174730625868</v>
      </c>
      <c r="AM194" s="14">
        <v>37</v>
      </c>
      <c r="AN194" s="14">
        <v>37</v>
      </c>
      <c r="AO194" s="3">
        <f>AN194/AM194</f>
        <v>1</v>
      </c>
      <c r="AP194" s="14">
        <v>0</v>
      </c>
      <c r="AQ194" s="14">
        <v>27</v>
      </c>
      <c r="AR194" s="3">
        <f t="shared" si="17"/>
        <v>0</v>
      </c>
      <c r="AZ194" s="1">
        <f t="shared" si="1"/>
        <v>0</v>
      </c>
    </row>
    <row r="195" spans="1:52" ht="15.75" customHeight="1" x14ac:dyDescent="0.3">
      <c r="A195" s="1" t="s">
        <v>718</v>
      </c>
      <c r="B195" s="2" t="s">
        <v>719</v>
      </c>
      <c r="C195" s="2">
        <v>160000032</v>
      </c>
      <c r="D195" s="1" t="s">
        <v>480</v>
      </c>
      <c r="E195" s="1" t="s">
        <v>481</v>
      </c>
      <c r="F195" s="1" t="s">
        <v>67</v>
      </c>
      <c r="G195" s="1" t="s">
        <v>86</v>
      </c>
      <c r="H195" s="1" t="s">
        <v>87</v>
      </c>
      <c r="I195" s="1" t="s">
        <v>70</v>
      </c>
      <c r="J195" s="1" t="s">
        <v>440</v>
      </c>
      <c r="K195" s="1">
        <v>6</v>
      </c>
      <c r="L195" s="1" t="s">
        <v>482</v>
      </c>
      <c r="M195" s="1" t="s">
        <v>483</v>
      </c>
      <c r="N195" s="1" t="s">
        <v>482</v>
      </c>
      <c r="O195" s="1" t="s">
        <v>150</v>
      </c>
      <c r="P195" s="1" t="s">
        <v>9</v>
      </c>
      <c r="Q195" s="1" t="s">
        <v>80</v>
      </c>
      <c r="R195" s="1" t="s">
        <v>720</v>
      </c>
      <c r="S195" s="2"/>
      <c r="U195" s="1">
        <v>1</v>
      </c>
      <c r="AE195" s="1" t="s">
        <v>175</v>
      </c>
      <c r="AF195" s="12">
        <v>2</v>
      </c>
      <c r="AG195" s="12">
        <v>0</v>
      </c>
      <c r="AH195" s="12">
        <v>2</v>
      </c>
      <c r="AI195" s="12">
        <v>49</v>
      </c>
      <c r="AJ195" s="12">
        <v>49</v>
      </c>
      <c r="AK195" s="12">
        <v>49</v>
      </c>
      <c r="AL195" s="12">
        <v>0</v>
      </c>
      <c r="AM195" s="14"/>
      <c r="AN195" s="14"/>
      <c r="AO195" s="3"/>
      <c r="AP195" s="14">
        <v>0</v>
      </c>
      <c r="AQ195" s="14">
        <v>2</v>
      </c>
      <c r="AR195" s="3">
        <f t="shared" si="17"/>
        <v>0</v>
      </c>
      <c r="AZ195" s="1">
        <f t="shared" si="1"/>
        <v>0</v>
      </c>
    </row>
    <row r="196" spans="1:52" ht="15.75" customHeight="1" x14ac:dyDescent="0.3">
      <c r="A196" s="1" t="s">
        <v>721</v>
      </c>
      <c r="B196" s="2" t="s">
        <v>722</v>
      </c>
      <c r="C196" s="2">
        <v>260000037</v>
      </c>
      <c r="D196" s="1" t="s">
        <v>509</v>
      </c>
      <c r="E196" s="1" t="s">
        <v>510</v>
      </c>
      <c r="F196" s="1" t="s">
        <v>67</v>
      </c>
      <c r="G196" s="1" t="s">
        <v>68</v>
      </c>
      <c r="H196" s="1" t="s">
        <v>69</v>
      </c>
      <c r="I196" s="1" t="s">
        <v>70</v>
      </c>
      <c r="J196" s="1" t="s">
        <v>511</v>
      </c>
      <c r="K196" s="1">
        <v>6</v>
      </c>
      <c r="L196" s="1" t="s">
        <v>512</v>
      </c>
      <c r="M196" s="1" t="s">
        <v>490</v>
      </c>
      <c r="N196" s="1" t="s">
        <v>491</v>
      </c>
      <c r="O196" s="1" t="s">
        <v>108</v>
      </c>
      <c r="P196" s="1" t="s">
        <v>9</v>
      </c>
      <c r="Q196" s="1" t="s">
        <v>80</v>
      </c>
      <c r="R196" s="1" t="s">
        <v>315</v>
      </c>
      <c r="S196" s="2"/>
      <c r="T196" s="1">
        <v>14</v>
      </c>
      <c r="U196" s="1">
        <v>13</v>
      </c>
      <c r="V196" s="1">
        <v>13</v>
      </c>
      <c r="W196" s="1">
        <v>13</v>
      </c>
      <c r="AE196" s="1" t="s">
        <v>513</v>
      </c>
      <c r="AF196" s="12">
        <v>26</v>
      </c>
      <c r="AG196" s="12">
        <v>12</v>
      </c>
      <c r="AH196" s="12">
        <v>14</v>
      </c>
      <c r="AI196" s="12">
        <v>49.363636363636367</v>
      </c>
      <c r="AJ196" s="12">
        <v>60</v>
      </c>
      <c r="AK196" s="12">
        <v>41</v>
      </c>
      <c r="AL196" s="12">
        <v>5.9725200435825911</v>
      </c>
      <c r="AM196" s="14"/>
      <c r="AN196" s="14"/>
      <c r="AO196" s="3"/>
      <c r="AP196" s="14">
        <v>0</v>
      </c>
      <c r="AQ196" s="14">
        <v>26</v>
      </c>
      <c r="AR196" s="3">
        <f t="shared" si="17"/>
        <v>0</v>
      </c>
      <c r="AZ196" s="1">
        <f t="shared" si="1"/>
        <v>0</v>
      </c>
    </row>
    <row r="197" spans="1:52" ht="15.75" customHeight="1" x14ac:dyDescent="0.3">
      <c r="A197" s="1" t="s">
        <v>723</v>
      </c>
      <c r="B197" s="2" t="s">
        <v>724</v>
      </c>
      <c r="C197" s="2">
        <v>260000052</v>
      </c>
      <c r="D197" s="1" t="s">
        <v>569</v>
      </c>
      <c r="E197" s="1" t="s">
        <v>570</v>
      </c>
      <c r="F197" s="1" t="s">
        <v>67</v>
      </c>
      <c r="G197" s="1" t="s">
        <v>68</v>
      </c>
      <c r="H197" s="1" t="s">
        <v>439</v>
      </c>
      <c r="I197" s="1" t="s">
        <v>70</v>
      </c>
      <c r="J197" s="1" t="s">
        <v>460</v>
      </c>
      <c r="K197" s="1">
        <v>6</v>
      </c>
      <c r="L197" s="1" t="s">
        <v>571</v>
      </c>
      <c r="M197" s="1" t="s">
        <v>572</v>
      </c>
      <c r="N197" s="1" t="s">
        <v>573</v>
      </c>
      <c r="O197" s="1" t="s">
        <v>150</v>
      </c>
      <c r="P197" s="1" t="s">
        <v>9</v>
      </c>
      <c r="Q197" s="1" t="s">
        <v>80</v>
      </c>
      <c r="R197" s="1" t="s">
        <v>725</v>
      </c>
      <c r="S197" s="2"/>
      <c r="X197" s="1">
        <v>25</v>
      </c>
      <c r="AE197" s="1" t="s">
        <v>726</v>
      </c>
      <c r="AF197" s="12">
        <v>50</v>
      </c>
      <c r="AG197" s="12">
        <v>28</v>
      </c>
      <c r="AH197" s="12">
        <v>22</v>
      </c>
      <c r="AI197" s="12">
        <v>49.44</v>
      </c>
      <c r="AJ197" s="12">
        <v>67</v>
      </c>
      <c r="AK197" s="12">
        <v>35</v>
      </c>
      <c r="AL197" s="12">
        <v>7.3849267333632369</v>
      </c>
      <c r="AM197" s="14"/>
      <c r="AN197" s="14"/>
      <c r="AO197" s="3"/>
      <c r="AP197" s="14">
        <v>2</v>
      </c>
      <c r="AQ197" s="14">
        <v>48</v>
      </c>
      <c r="AR197" s="3">
        <f t="shared" si="17"/>
        <v>4.1666666666666664E-2</v>
      </c>
      <c r="AZ197" s="1">
        <f t="shared" si="1"/>
        <v>0</v>
      </c>
    </row>
    <row r="198" spans="1:52" ht="15.75" customHeight="1" x14ac:dyDescent="0.3">
      <c r="A198" s="1" t="s">
        <v>727</v>
      </c>
      <c r="B198" s="2" t="s">
        <v>728</v>
      </c>
      <c r="C198" s="2">
        <v>260000049</v>
      </c>
      <c r="D198" s="1" t="s">
        <v>729</v>
      </c>
      <c r="E198" s="1" t="s">
        <v>730</v>
      </c>
      <c r="F198" s="1" t="s">
        <v>67</v>
      </c>
      <c r="G198" s="1" t="s">
        <v>68</v>
      </c>
      <c r="H198" s="1" t="s">
        <v>69</v>
      </c>
      <c r="I198" s="1" t="s">
        <v>70</v>
      </c>
      <c r="J198" s="1" t="s">
        <v>98</v>
      </c>
      <c r="K198" s="1">
        <v>6</v>
      </c>
      <c r="L198" s="1" t="s">
        <v>731</v>
      </c>
      <c r="M198" s="1" t="s">
        <v>73</v>
      </c>
      <c r="N198" s="1" t="s">
        <v>74</v>
      </c>
      <c r="O198" s="1" t="s">
        <v>74</v>
      </c>
      <c r="P198" s="1" t="s">
        <v>9</v>
      </c>
      <c r="Q198" s="1" t="s">
        <v>80</v>
      </c>
      <c r="R198" s="1" t="s">
        <v>534</v>
      </c>
      <c r="S198" s="2"/>
      <c r="U198" s="1">
        <v>37</v>
      </c>
      <c r="V198" s="1">
        <v>32</v>
      </c>
      <c r="W198" s="1">
        <v>44</v>
      </c>
      <c r="X198" s="1">
        <v>44</v>
      </c>
      <c r="Y198" s="1">
        <v>39</v>
      </c>
      <c r="AE198" s="1" t="s">
        <v>726</v>
      </c>
      <c r="AF198" s="12">
        <v>88</v>
      </c>
      <c r="AG198" s="12">
        <v>48</v>
      </c>
      <c r="AH198" s="12">
        <v>40</v>
      </c>
      <c r="AI198" s="12">
        <v>50.069767441860463</v>
      </c>
      <c r="AJ198" s="12">
        <v>67</v>
      </c>
      <c r="AK198" s="12">
        <v>32</v>
      </c>
      <c r="AL198" s="12">
        <v>8.0830842943758903</v>
      </c>
      <c r="AM198" s="14">
        <v>21</v>
      </c>
      <c r="AN198" s="14">
        <v>21</v>
      </c>
      <c r="AO198" s="3">
        <f>AN198/AM198</f>
        <v>1</v>
      </c>
      <c r="AP198" s="14">
        <v>4</v>
      </c>
      <c r="AQ198" s="14">
        <v>84</v>
      </c>
      <c r="AR198" s="3">
        <f t="shared" si="17"/>
        <v>4.7619047619047616E-2</v>
      </c>
      <c r="AZ198" s="1">
        <f t="shared" si="1"/>
        <v>0</v>
      </c>
    </row>
    <row r="199" spans="1:52" ht="15.75" customHeight="1" x14ac:dyDescent="0.3">
      <c r="A199" s="1" t="s">
        <v>732</v>
      </c>
      <c r="B199" s="2" t="s">
        <v>733</v>
      </c>
      <c r="C199" s="2">
        <v>160000027</v>
      </c>
      <c r="D199" s="1" t="s">
        <v>522</v>
      </c>
      <c r="E199" s="1" t="s">
        <v>523</v>
      </c>
      <c r="F199" s="1" t="s">
        <v>67</v>
      </c>
      <c r="G199" s="1" t="s">
        <v>86</v>
      </c>
      <c r="H199" s="1" t="s">
        <v>87</v>
      </c>
      <c r="I199" s="1" t="s">
        <v>70</v>
      </c>
      <c r="J199" s="1" t="s">
        <v>460</v>
      </c>
      <c r="K199" s="1">
        <v>6</v>
      </c>
      <c r="L199" s="1" t="s">
        <v>524</v>
      </c>
      <c r="M199" s="1" t="s">
        <v>525</v>
      </c>
      <c r="N199" s="1" t="s">
        <v>526</v>
      </c>
      <c r="O199" s="1" t="s">
        <v>74</v>
      </c>
      <c r="P199" s="1" t="s">
        <v>9</v>
      </c>
      <c r="Q199" s="1" t="s">
        <v>75</v>
      </c>
      <c r="R199" s="1" t="s">
        <v>213</v>
      </c>
      <c r="S199" s="2"/>
      <c r="T199" s="1">
        <v>17</v>
      </c>
      <c r="U199" s="1">
        <v>17</v>
      </c>
      <c r="X199" s="1">
        <v>15</v>
      </c>
      <c r="AE199" s="1" t="s">
        <v>726</v>
      </c>
      <c r="AF199" s="12">
        <v>30</v>
      </c>
      <c r="AG199" s="12">
        <v>20</v>
      </c>
      <c r="AH199" s="12">
        <v>10</v>
      </c>
      <c r="AI199" s="12">
        <v>50.733333333333334</v>
      </c>
      <c r="AJ199" s="12">
        <v>70</v>
      </c>
      <c r="AK199" s="12">
        <v>33</v>
      </c>
      <c r="AL199" s="12">
        <v>9.8713564498968225</v>
      </c>
      <c r="AM199" s="14"/>
      <c r="AN199" s="14"/>
      <c r="AO199" s="3"/>
      <c r="AP199" s="14">
        <v>0</v>
      </c>
      <c r="AQ199" s="14">
        <v>30</v>
      </c>
      <c r="AR199" s="3">
        <f t="shared" si="17"/>
        <v>0</v>
      </c>
      <c r="AS199" s="1">
        <v>0</v>
      </c>
      <c r="AT199" s="1">
        <v>0</v>
      </c>
      <c r="AU199" s="1">
        <v>2</v>
      </c>
      <c r="AV199" s="1">
        <v>1</v>
      </c>
      <c r="AW199" s="1">
        <v>0</v>
      </c>
      <c r="AX199" s="1">
        <v>0</v>
      </c>
      <c r="AY199" s="1">
        <v>0</v>
      </c>
      <c r="AZ199" s="1">
        <f t="shared" si="1"/>
        <v>3</v>
      </c>
    </row>
    <row r="200" spans="1:52" ht="15.75" customHeight="1" x14ac:dyDescent="0.3">
      <c r="A200" s="1" t="s">
        <v>734</v>
      </c>
      <c r="B200" s="2" t="s">
        <v>735</v>
      </c>
      <c r="C200" s="2">
        <v>260000037</v>
      </c>
      <c r="D200" s="1" t="s">
        <v>509</v>
      </c>
      <c r="E200" s="1" t="s">
        <v>510</v>
      </c>
      <c r="F200" s="1" t="s">
        <v>67</v>
      </c>
      <c r="G200" s="1" t="s">
        <v>68</v>
      </c>
      <c r="H200" s="1" t="s">
        <v>69</v>
      </c>
      <c r="I200" s="1" t="s">
        <v>70</v>
      </c>
      <c r="J200" s="1" t="s">
        <v>511</v>
      </c>
      <c r="K200" s="1">
        <v>6</v>
      </c>
      <c r="L200" s="1" t="s">
        <v>512</v>
      </c>
      <c r="M200" s="1" t="s">
        <v>490</v>
      </c>
      <c r="N200" s="1" t="s">
        <v>491</v>
      </c>
      <c r="O200" s="1" t="s">
        <v>108</v>
      </c>
      <c r="P200" s="1" t="s">
        <v>9</v>
      </c>
      <c r="Q200" s="1" t="s">
        <v>80</v>
      </c>
      <c r="R200" s="1" t="s">
        <v>736</v>
      </c>
      <c r="S200" s="2"/>
      <c r="T200" s="1">
        <v>35</v>
      </c>
      <c r="U200" s="1">
        <v>35</v>
      </c>
      <c r="V200" s="1">
        <v>34</v>
      </c>
      <c r="W200" s="1">
        <v>20</v>
      </c>
      <c r="AE200" s="1" t="s">
        <v>513</v>
      </c>
      <c r="AF200" s="12">
        <v>40</v>
      </c>
      <c r="AG200" s="12">
        <v>20</v>
      </c>
      <c r="AH200" s="12">
        <v>20</v>
      </c>
      <c r="AI200" s="12">
        <v>50.9</v>
      </c>
      <c r="AJ200" s="12">
        <v>62</v>
      </c>
      <c r="AK200" s="12">
        <v>36</v>
      </c>
      <c r="AL200" s="12">
        <v>8.4604661325181922</v>
      </c>
      <c r="AM200" s="14"/>
      <c r="AN200" s="14"/>
      <c r="AO200" s="3"/>
      <c r="AP200" s="14">
        <v>0</v>
      </c>
      <c r="AQ200" s="14">
        <v>40</v>
      </c>
      <c r="AR200" s="3">
        <f t="shared" si="17"/>
        <v>0</v>
      </c>
      <c r="AZ200" s="1">
        <f t="shared" si="1"/>
        <v>0</v>
      </c>
    </row>
    <row r="201" spans="1:52" ht="15.75" customHeight="1" x14ac:dyDescent="0.3">
      <c r="A201" s="1" t="s">
        <v>737</v>
      </c>
      <c r="B201" s="2" t="s">
        <v>738</v>
      </c>
      <c r="C201" s="2">
        <v>260000061</v>
      </c>
      <c r="D201" s="1" t="s">
        <v>739</v>
      </c>
      <c r="E201" s="1" t="s">
        <v>740</v>
      </c>
      <c r="F201" s="1" t="s">
        <v>67</v>
      </c>
      <c r="G201" s="1" t="s">
        <v>68</v>
      </c>
      <c r="H201" s="1" t="s">
        <v>439</v>
      </c>
      <c r="I201" s="1" t="s">
        <v>70</v>
      </c>
      <c r="J201" s="1" t="s">
        <v>460</v>
      </c>
      <c r="K201" s="1">
        <v>6</v>
      </c>
      <c r="L201" s="1" t="s">
        <v>74</v>
      </c>
      <c r="M201" s="1" t="s">
        <v>74</v>
      </c>
      <c r="N201" s="1" t="s">
        <v>74</v>
      </c>
      <c r="O201" s="1" t="s">
        <v>74</v>
      </c>
      <c r="P201" s="1" t="s">
        <v>9</v>
      </c>
      <c r="Q201" s="1" t="s">
        <v>80</v>
      </c>
      <c r="R201" s="1" t="s">
        <v>315</v>
      </c>
      <c r="S201" s="2"/>
      <c r="W201" s="1">
        <v>12</v>
      </c>
      <c r="AE201" s="1" t="s">
        <v>513</v>
      </c>
      <c r="AF201" s="12">
        <v>24</v>
      </c>
      <c r="AG201" s="12">
        <v>14</v>
      </c>
      <c r="AH201" s="12">
        <v>10</v>
      </c>
      <c r="AI201" s="12">
        <v>53.363636363636367</v>
      </c>
      <c r="AJ201" s="12">
        <v>69</v>
      </c>
      <c r="AK201" s="12">
        <v>33</v>
      </c>
      <c r="AL201" s="12">
        <v>9.1783671882543665</v>
      </c>
      <c r="AM201" s="14"/>
      <c r="AN201" s="14"/>
      <c r="AO201" s="3"/>
      <c r="AP201" s="14">
        <v>0</v>
      </c>
      <c r="AQ201" s="14">
        <v>24</v>
      </c>
      <c r="AR201" s="3">
        <f t="shared" si="17"/>
        <v>0</v>
      </c>
      <c r="AZ201" s="1">
        <f t="shared" si="1"/>
        <v>0</v>
      </c>
    </row>
    <row r="202" spans="1:52" ht="15.75" customHeight="1" x14ac:dyDescent="0.3">
      <c r="A202" s="1" t="s">
        <v>741</v>
      </c>
      <c r="B202" s="2" t="s">
        <v>742</v>
      </c>
      <c r="C202" s="2">
        <v>160000028</v>
      </c>
      <c r="D202" s="1" t="s">
        <v>610</v>
      </c>
      <c r="E202" s="1" t="s">
        <v>611</v>
      </c>
      <c r="F202" s="1" t="s">
        <v>67</v>
      </c>
      <c r="G202" s="1" t="s">
        <v>86</v>
      </c>
      <c r="H202" s="1" t="s">
        <v>87</v>
      </c>
      <c r="I202" s="1" t="s">
        <v>70</v>
      </c>
      <c r="J202" s="1" t="s">
        <v>511</v>
      </c>
      <c r="K202" s="1">
        <v>6</v>
      </c>
      <c r="L202" s="1" t="s">
        <v>612</v>
      </c>
      <c r="M202" s="1" t="s">
        <v>613</v>
      </c>
      <c r="N202" s="1" t="s">
        <v>74</v>
      </c>
      <c r="O202" s="1" t="s">
        <v>74</v>
      </c>
      <c r="P202" s="1" t="s">
        <v>9</v>
      </c>
      <c r="Q202" s="1" t="s">
        <v>80</v>
      </c>
      <c r="R202" s="1" t="s">
        <v>743</v>
      </c>
      <c r="S202" s="2"/>
      <c r="T202" s="1">
        <v>11</v>
      </c>
      <c r="U202" s="1">
        <v>9</v>
      </c>
      <c r="AE202" s="1" t="s">
        <v>110</v>
      </c>
      <c r="AF202" s="12">
        <v>22</v>
      </c>
      <c r="AG202" s="12">
        <v>8</v>
      </c>
      <c r="AH202" s="12">
        <v>14</v>
      </c>
      <c r="AI202" s="12">
        <v>53.81818181818182</v>
      </c>
      <c r="AJ202" s="12">
        <v>66</v>
      </c>
      <c r="AK202" s="12">
        <v>42</v>
      </c>
      <c r="AL202" s="12">
        <v>6.7867964505063867</v>
      </c>
      <c r="AM202" s="14"/>
      <c r="AN202" s="14"/>
      <c r="AO202" s="3"/>
      <c r="AP202" s="14">
        <v>0</v>
      </c>
      <c r="AQ202" s="14">
        <v>22</v>
      </c>
      <c r="AR202" s="3">
        <f t="shared" si="17"/>
        <v>0</v>
      </c>
      <c r="AS202" s="1">
        <v>0</v>
      </c>
      <c r="AT202" s="1">
        <v>0</v>
      </c>
      <c r="AU202" s="1">
        <v>0</v>
      </c>
      <c r="AV202" s="1">
        <v>12</v>
      </c>
      <c r="AW202" s="1">
        <v>0</v>
      </c>
      <c r="AX202" s="1">
        <v>0</v>
      </c>
      <c r="AY202" s="1">
        <v>0</v>
      </c>
      <c r="AZ202" s="1">
        <f t="shared" si="1"/>
        <v>12</v>
      </c>
    </row>
    <row r="203" spans="1:52" ht="15.75" customHeight="1" x14ac:dyDescent="0.3">
      <c r="A203" s="1" t="s">
        <v>744</v>
      </c>
      <c r="B203" s="2" t="s">
        <v>745</v>
      </c>
      <c r="C203" s="2">
        <v>160000042</v>
      </c>
      <c r="D203" s="1" t="s">
        <v>458</v>
      </c>
      <c r="E203" s="1" t="s">
        <v>459</v>
      </c>
      <c r="F203" s="1" t="s">
        <v>67</v>
      </c>
      <c r="G203" s="1" t="s">
        <v>86</v>
      </c>
      <c r="H203" s="1" t="s">
        <v>87</v>
      </c>
      <c r="I203" s="1" t="s">
        <v>70</v>
      </c>
      <c r="J203" s="1" t="s">
        <v>460</v>
      </c>
      <c r="K203" s="1">
        <v>6</v>
      </c>
      <c r="L203" s="1" t="s">
        <v>461</v>
      </c>
      <c r="M203" s="1" t="s">
        <v>462</v>
      </c>
      <c r="N203" s="1" t="s">
        <v>463</v>
      </c>
      <c r="O203" s="1" t="s">
        <v>150</v>
      </c>
      <c r="P203" s="1" t="s">
        <v>9</v>
      </c>
      <c r="Q203" s="1" t="s">
        <v>90</v>
      </c>
      <c r="R203" s="1" t="s">
        <v>746</v>
      </c>
      <c r="S203" s="2"/>
      <c r="T203" s="1">
        <v>5</v>
      </c>
      <c r="U203" s="1">
        <v>5</v>
      </c>
      <c r="AE203" s="1" t="s">
        <v>110</v>
      </c>
      <c r="AF203" s="12">
        <v>10</v>
      </c>
      <c r="AG203" s="12">
        <v>4</v>
      </c>
      <c r="AH203" s="12">
        <v>6</v>
      </c>
      <c r="AI203" s="12">
        <v>56.2</v>
      </c>
      <c r="AJ203" s="12">
        <v>67</v>
      </c>
      <c r="AK203" s="12">
        <v>48</v>
      </c>
      <c r="AL203" s="12">
        <v>7.7574337108207123</v>
      </c>
      <c r="AM203" s="14"/>
      <c r="AN203" s="14"/>
      <c r="AO203" s="3"/>
      <c r="AP203" s="14">
        <v>0</v>
      </c>
      <c r="AQ203" s="14">
        <v>10</v>
      </c>
      <c r="AR203" s="3">
        <f t="shared" si="17"/>
        <v>0</v>
      </c>
      <c r="AZ203" s="1">
        <f t="shared" si="1"/>
        <v>0</v>
      </c>
    </row>
    <row r="204" spans="1:52" ht="15.75" customHeight="1" x14ac:dyDescent="0.3">
      <c r="A204" s="1" t="s">
        <v>747</v>
      </c>
      <c r="B204" s="2" t="s">
        <v>748</v>
      </c>
      <c r="C204" s="2">
        <v>160000023</v>
      </c>
      <c r="D204" s="1" t="s">
        <v>504</v>
      </c>
      <c r="E204" s="1" t="s">
        <v>505</v>
      </c>
      <c r="F204" s="1" t="s">
        <v>67</v>
      </c>
      <c r="G204" s="1" t="s">
        <v>86</v>
      </c>
      <c r="H204" s="1" t="s">
        <v>87</v>
      </c>
      <c r="I204" s="1" t="s">
        <v>70</v>
      </c>
      <c r="J204" s="1" t="s">
        <v>460</v>
      </c>
      <c r="K204" s="1">
        <v>6</v>
      </c>
      <c r="L204" s="1" t="s">
        <v>506</v>
      </c>
      <c r="M204" s="1" t="s">
        <v>475</v>
      </c>
      <c r="N204" s="1" t="s">
        <v>476</v>
      </c>
      <c r="O204" s="1" t="s">
        <v>108</v>
      </c>
      <c r="P204" s="1" t="s">
        <v>9</v>
      </c>
      <c r="Q204" s="1" t="s">
        <v>195</v>
      </c>
      <c r="R204" s="1" t="s">
        <v>196</v>
      </c>
      <c r="S204" s="2"/>
      <c r="W204" s="1">
        <v>1</v>
      </c>
      <c r="AE204" s="1" t="s">
        <v>513</v>
      </c>
      <c r="AF204" s="12">
        <v>2</v>
      </c>
      <c r="AG204" s="12">
        <v>0</v>
      </c>
      <c r="AH204" s="12">
        <v>2</v>
      </c>
      <c r="AI204" s="12">
        <v>63</v>
      </c>
      <c r="AJ204" s="12">
        <v>63</v>
      </c>
      <c r="AK204" s="12">
        <v>63</v>
      </c>
      <c r="AL204" s="12">
        <v>0</v>
      </c>
      <c r="AM204" s="14"/>
      <c r="AN204" s="14"/>
      <c r="AO204" s="3"/>
      <c r="AP204" s="14">
        <v>0</v>
      </c>
      <c r="AQ204" s="14">
        <v>2</v>
      </c>
      <c r="AR204" s="3">
        <f t="shared" si="17"/>
        <v>0</v>
      </c>
      <c r="AZ204" s="1">
        <f t="shared" si="1"/>
        <v>0</v>
      </c>
    </row>
    <row r="205" spans="1:52" ht="15.75" customHeight="1" x14ac:dyDescent="0.3">
      <c r="A205" s="1" t="s">
        <v>749</v>
      </c>
      <c r="B205" s="2" t="s">
        <v>750</v>
      </c>
      <c r="C205" s="2">
        <v>160000122</v>
      </c>
      <c r="D205" s="2" t="s">
        <v>751</v>
      </c>
      <c r="E205" s="1" t="s">
        <v>752</v>
      </c>
      <c r="F205" s="2" t="s">
        <v>67</v>
      </c>
      <c r="G205" s="2" t="s">
        <v>86</v>
      </c>
      <c r="H205" s="2" t="s">
        <v>87</v>
      </c>
      <c r="I205" s="2" t="s">
        <v>409</v>
      </c>
      <c r="J205" s="1" t="s">
        <v>440</v>
      </c>
      <c r="K205" s="1">
        <v>6</v>
      </c>
      <c r="L205" s="1" t="s">
        <v>753</v>
      </c>
      <c r="M205" s="1" t="s">
        <v>754</v>
      </c>
      <c r="N205" s="1" t="s">
        <v>74</v>
      </c>
      <c r="O205" s="1" t="s">
        <v>74</v>
      </c>
      <c r="P205" s="1" t="s">
        <v>9</v>
      </c>
      <c r="Q205" s="1" t="s">
        <v>80</v>
      </c>
      <c r="R205" s="2" t="s">
        <v>192</v>
      </c>
      <c r="S205" s="2"/>
      <c r="AF205" s="12"/>
      <c r="AG205" s="12"/>
      <c r="AH205" s="12"/>
      <c r="AI205" s="12"/>
      <c r="AJ205" s="12"/>
      <c r="AK205" s="12"/>
      <c r="AL205" s="12"/>
      <c r="AM205" s="14">
        <v>2</v>
      </c>
      <c r="AN205" s="14">
        <v>2</v>
      </c>
      <c r="AO205" s="3">
        <f t="shared" ref="AO205:AO209" si="27">AN205/AM205</f>
        <v>1</v>
      </c>
      <c r="AP205" s="14"/>
      <c r="AQ205" s="14"/>
      <c r="AR205" s="3"/>
      <c r="AZ205" s="1">
        <f t="shared" si="1"/>
        <v>0</v>
      </c>
    </row>
    <row r="206" spans="1:52" ht="15.75" customHeight="1" x14ac:dyDescent="0.3">
      <c r="A206" s="1" t="s">
        <v>755</v>
      </c>
      <c r="B206" s="2" t="s">
        <v>756</v>
      </c>
      <c r="C206" s="2">
        <v>260000037</v>
      </c>
      <c r="D206" s="2" t="s">
        <v>509</v>
      </c>
      <c r="E206" s="1" t="s">
        <v>510</v>
      </c>
      <c r="F206" s="2" t="s">
        <v>67</v>
      </c>
      <c r="G206" s="2" t="s">
        <v>68</v>
      </c>
      <c r="H206" s="2" t="s">
        <v>69</v>
      </c>
      <c r="I206" s="2" t="s">
        <v>409</v>
      </c>
      <c r="J206" s="1" t="s">
        <v>511</v>
      </c>
      <c r="K206" s="1">
        <v>6</v>
      </c>
      <c r="L206" s="1" t="s">
        <v>512</v>
      </c>
      <c r="M206" s="1" t="s">
        <v>490</v>
      </c>
      <c r="N206" s="1" t="s">
        <v>491</v>
      </c>
      <c r="O206" s="1" t="s">
        <v>108</v>
      </c>
      <c r="P206" s="1" t="s">
        <v>9</v>
      </c>
      <c r="Q206" s="1" t="s">
        <v>80</v>
      </c>
      <c r="R206" s="2" t="s">
        <v>534</v>
      </c>
      <c r="S206" s="2"/>
      <c r="AF206" s="12"/>
      <c r="AG206" s="12"/>
      <c r="AH206" s="12"/>
      <c r="AI206" s="12"/>
      <c r="AJ206" s="12"/>
      <c r="AK206" s="12"/>
      <c r="AL206" s="12"/>
      <c r="AM206" s="14">
        <v>35</v>
      </c>
      <c r="AN206" s="14">
        <v>34</v>
      </c>
      <c r="AO206" s="3">
        <f t="shared" si="27"/>
        <v>0.97142857142857142</v>
      </c>
      <c r="AP206" s="14"/>
      <c r="AQ206" s="14"/>
      <c r="AR206" s="3"/>
      <c r="AZ206" s="1">
        <f t="shared" si="1"/>
        <v>0</v>
      </c>
    </row>
    <row r="207" spans="1:52" ht="15.75" customHeight="1" x14ac:dyDescent="0.3">
      <c r="A207" s="1" t="s">
        <v>757</v>
      </c>
      <c r="B207" s="2" t="s">
        <v>758</v>
      </c>
      <c r="C207" s="2">
        <v>160000028</v>
      </c>
      <c r="D207" s="2" t="s">
        <v>610</v>
      </c>
      <c r="E207" s="1" t="s">
        <v>611</v>
      </c>
      <c r="F207" s="2" t="s">
        <v>67</v>
      </c>
      <c r="G207" s="2" t="s">
        <v>86</v>
      </c>
      <c r="H207" s="2" t="s">
        <v>87</v>
      </c>
      <c r="I207" s="2" t="s">
        <v>409</v>
      </c>
      <c r="J207" s="1" t="s">
        <v>511</v>
      </c>
      <c r="K207" s="1">
        <v>6</v>
      </c>
      <c r="L207" s="1" t="s">
        <v>612</v>
      </c>
      <c r="M207" s="1" t="s">
        <v>613</v>
      </c>
      <c r="N207" s="1" t="s">
        <v>74</v>
      </c>
      <c r="O207" s="1" t="s">
        <v>74</v>
      </c>
      <c r="P207" s="1" t="s">
        <v>9</v>
      </c>
      <c r="Q207" s="1" t="s">
        <v>80</v>
      </c>
      <c r="R207" s="2" t="s">
        <v>759</v>
      </c>
      <c r="S207" s="2"/>
      <c r="AF207" s="12"/>
      <c r="AG207" s="12"/>
      <c r="AH207" s="12"/>
      <c r="AI207" s="12"/>
      <c r="AJ207" s="12"/>
      <c r="AK207" s="12"/>
      <c r="AL207" s="12"/>
      <c r="AM207" s="14">
        <v>21</v>
      </c>
      <c r="AN207" s="14">
        <v>21</v>
      </c>
      <c r="AO207" s="3">
        <f t="shared" si="27"/>
        <v>1</v>
      </c>
      <c r="AP207" s="14"/>
      <c r="AQ207" s="14"/>
      <c r="AR207" s="3"/>
      <c r="AZ207" s="1">
        <f t="shared" si="1"/>
        <v>0</v>
      </c>
    </row>
    <row r="208" spans="1:52" ht="15.75" customHeight="1" x14ac:dyDescent="0.3">
      <c r="A208" s="1" t="s">
        <v>760</v>
      </c>
      <c r="B208" s="2" t="s">
        <v>761</v>
      </c>
      <c r="C208" s="2">
        <v>160000010</v>
      </c>
      <c r="D208" s="2" t="s">
        <v>487</v>
      </c>
      <c r="E208" s="1" t="s">
        <v>488</v>
      </c>
      <c r="F208" s="2" t="s">
        <v>67</v>
      </c>
      <c r="G208" s="2" t="s">
        <v>86</v>
      </c>
      <c r="H208" s="2" t="s">
        <v>87</v>
      </c>
      <c r="I208" s="2" t="s">
        <v>409</v>
      </c>
      <c r="J208" s="1" t="s">
        <v>460</v>
      </c>
      <c r="K208" s="1">
        <v>6</v>
      </c>
      <c r="L208" s="1" t="s">
        <v>489</v>
      </c>
      <c r="M208" s="1" t="s">
        <v>490</v>
      </c>
      <c r="N208" s="1" t="s">
        <v>491</v>
      </c>
      <c r="O208" s="1" t="s">
        <v>108</v>
      </c>
      <c r="P208" s="1" t="s">
        <v>9</v>
      </c>
      <c r="Q208" s="1" t="s">
        <v>80</v>
      </c>
      <c r="R208" s="2" t="s">
        <v>448</v>
      </c>
      <c r="S208" s="2"/>
      <c r="AF208" s="12"/>
      <c r="AG208" s="12"/>
      <c r="AH208" s="12"/>
      <c r="AI208" s="12"/>
      <c r="AJ208" s="12"/>
      <c r="AK208" s="12"/>
      <c r="AL208" s="12"/>
      <c r="AM208" s="14">
        <v>14</v>
      </c>
      <c r="AN208" s="14">
        <v>14</v>
      </c>
      <c r="AO208" s="3">
        <f t="shared" si="27"/>
        <v>1</v>
      </c>
      <c r="AP208" s="14"/>
      <c r="AQ208" s="14"/>
      <c r="AR208" s="3"/>
      <c r="AZ208" s="1">
        <f t="shared" si="1"/>
        <v>0</v>
      </c>
    </row>
    <row r="209" spans="1:52" ht="15.75" customHeight="1" x14ac:dyDescent="0.3">
      <c r="A209" s="1" t="s">
        <v>762</v>
      </c>
      <c r="B209" s="2" t="s">
        <v>763</v>
      </c>
      <c r="C209" s="2">
        <v>160000042</v>
      </c>
      <c r="D209" s="2" t="s">
        <v>458</v>
      </c>
      <c r="E209" s="1" t="s">
        <v>459</v>
      </c>
      <c r="F209" s="2" t="s">
        <v>67</v>
      </c>
      <c r="G209" s="2" t="s">
        <v>86</v>
      </c>
      <c r="H209" s="2" t="s">
        <v>87</v>
      </c>
      <c r="I209" s="2" t="s">
        <v>409</v>
      </c>
      <c r="J209" s="1" t="s">
        <v>460</v>
      </c>
      <c r="K209" s="1">
        <v>6</v>
      </c>
      <c r="L209" s="1" t="s">
        <v>461</v>
      </c>
      <c r="M209" s="1" t="s">
        <v>462</v>
      </c>
      <c r="N209" s="1" t="s">
        <v>463</v>
      </c>
      <c r="O209" s="1" t="s">
        <v>150</v>
      </c>
      <c r="P209" s="1" t="s">
        <v>9</v>
      </c>
      <c r="Q209" s="1" t="s">
        <v>141</v>
      </c>
      <c r="R209" s="2" t="s">
        <v>764</v>
      </c>
      <c r="S209" s="2"/>
      <c r="AF209" s="12"/>
      <c r="AG209" s="12"/>
      <c r="AH209" s="12"/>
      <c r="AI209" s="12"/>
      <c r="AJ209" s="12"/>
      <c r="AK209" s="12"/>
      <c r="AL209" s="12"/>
      <c r="AM209" s="14">
        <v>15</v>
      </c>
      <c r="AN209" s="14">
        <v>15</v>
      </c>
      <c r="AO209" s="3">
        <f t="shared" si="27"/>
        <v>1</v>
      </c>
      <c r="AP209" s="14"/>
      <c r="AQ209" s="14"/>
      <c r="AR209" s="3"/>
      <c r="AZ209" s="1">
        <f t="shared" si="1"/>
        <v>0</v>
      </c>
    </row>
    <row r="210" spans="1:52" ht="15.75" customHeight="1" x14ac:dyDescent="0.3">
      <c r="A210" s="1" t="s">
        <v>765</v>
      </c>
      <c r="B210" s="2" t="s">
        <v>766</v>
      </c>
      <c r="C210" s="2" t="s">
        <v>767</v>
      </c>
      <c r="D210" s="1" t="s">
        <v>768</v>
      </c>
      <c r="E210" s="1" t="s">
        <v>769</v>
      </c>
      <c r="F210" s="1" t="s">
        <v>67</v>
      </c>
      <c r="G210" s="1" t="s">
        <v>68</v>
      </c>
      <c r="H210" s="1" t="s">
        <v>69</v>
      </c>
      <c r="I210" s="1" t="s">
        <v>10</v>
      </c>
      <c r="K210" s="1">
        <v>0</v>
      </c>
      <c r="L210" s="1" t="s">
        <v>461</v>
      </c>
      <c r="M210" s="1" t="s">
        <v>462</v>
      </c>
      <c r="N210" s="1" t="s">
        <v>463</v>
      </c>
      <c r="O210" s="1" t="s">
        <v>150</v>
      </c>
      <c r="P210" s="1" t="s">
        <v>10</v>
      </c>
      <c r="Q210" s="1" t="s">
        <v>80</v>
      </c>
      <c r="R210" s="1" t="s">
        <v>109</v>
      </c>
      <c r="T210" s="1">
        <v>1</v>
      </c>
      <c r="AE210" s="1" t="s">
        <v>110</v>
      </c>
      <c r="AF210" s="12">
        <v>2</v>
      </c>
      <c r="AG210" s="12">
        <v>0</v>
      </c>
      <c r="AH210" s="12">
        <v>2</v>
      </c>
      <c r="AI210" s="12">
        <v>33</v>
      </c>
      <c r="AJ210" s="12">
        <v>33</v>
      </c>
      <c r="AK210" s="12">
        <v>33</v>
      </c>
      <c r="AL210" s="12">
        <v>0</v>
      </c>
      <c r="AM210" s="14"/>
      <c r="AN210" s="14"/>
      <c r="AO210" s="3"/>
      <c r="AP210" s="14">
        <v>0</v>
      </c>
      <c r="AQ210" s="14">
        <v>2</v>
      </c>
      <c r="AR210" s="3">
        <f t="shared" ref="AR210:AR275" si="28">AP210/AQ210</f>
        <v>0</v>
      </c>
      <c r="AS210" s="1">
        <v>0</v>
      </c>
      <c r="AT210" s="1">
        <v>5</v>
      </c>
      <c r="AU210" s="1">
        <v>1</v>
      </c>
      <c r="AV210" s="1">
        <v>0</v>
      </c>
      <c r="AW210" s="1">
        <v>0</v>
      </c>
      <c r="AX210" s="1">
        <v>0</v>
      </c>
      <c r="AY210" s="1">
        <v>0</v>
      </c>
      <c r="AZ210" s="1">
        <f t="shared" si="1"/>
        <v>6</v>
      </c>
    </row>
    <row r="211" spans="1:52" ht="15.75" customHeight="1" x14ac:dyDescent="0.3">
      <c r="A211" s="1" t="s">
        <v>770</v>
      </c>
      <c r="B211" s="2" t="s">
        <v>771</v>
      </c>
      <c r="C211" s="2">
        <v>260000036</v>
      </c>
      <c r="D211" s="1" t="s">
        <v>772</v>
      </c>
      <c r="E211" s="1" t="s">
        <v>773</v>
      </c>
      <c r="F211" s="1" t="s">
        <v>67</v>
      </c>
      <c r="G211" s="1" t="s">
        <v>68</v>
      </c>
      <c r="H211" s="1" t="s">
        <v>69</v>
      </c>
      <c r="I211" s="1" t="s">
        <v>10</v>
      </c>
      <c r="K211" s="1">
        <v>0</v>
      </c>
      <c r="L211" s="1" t="s">
        <v>774</v>
      </c>
      <c r="M211" s="1" t="s">
        <v>775</v>
      </c>
      <c r="N211" s="1" t="s">
        <v>776</v>
      </c>
      <c r="O211" s="1" t="s">
        <v>108</v>
      </c>
      <c r="P211" s="1" t="s">
        <v>10</v>
      </c>
      <c r="Q211" s="1" t="s">
        <v>141</v>
      </c>
      <c r="R211" s="1" t="s">
        <v>777</v>
      </c>
      <c r="T211" s="1">
        <v>25</v>
      </c>
      <c r="U211" s="1">
        <v>25</v>
      </c>
      <c r="AE211" s="1" t="s">
        <v>110</v>
      </c>
      <c r="AF211" s="12">
        <v>50</v>
      </c>
      <c r="AG211" s="12">
        <v>12</v>
      </c>
      <c r="AH211" s="12">
        <v>38</v>
      </c>
      <c r="AI211" s="12">
        <v>37.72</v>
      </c>
      <c r="AJ211" s="12">
        <v>60</v>
      </c>
      <c r="AK211" s="12">
        <v>26</v>
      </c>
      <c r="AL211" s="12">
        <v>9.0599815290166283</v>
      </c>
      <c r="AM211" s="14"/>
      <c r="AN211" s="14"/>
      <c r="AO211" s="3"/>
      <c r="AP211" s="14">
        <v>0</v>
      </c>
      <c r="AQ211" s="14">
        <v>50</v>
      </c>
      <c r="AR211" s="3">
        <f t="shared" si="28"/>
        <v>0</v>
      </c>
      <c r="AS211" s="1">
        <v>0</v>
      </c>
      <c r="AT211" s="1">
        <v>0</v>
      </c>
      <c r="AU211" s="1">
        <v>1</v>
      </c>
      <c r="AV211" s="1">
        <v>0</v>
      </c>
      <c r="AW211" s="1">
        <v>0</v>
      </c>
      <c r="AX211" s="1">
        <v>0</v>
      </c>
      <c r="AY211" s="1">
        <v>1</v>
      </c>
      <c r="AZ211" s="1">
        <f t="shared" si="1"/>
        <v>2</v>
      </c>
    </row>
    <row r="212" spans="1:52" ht="15.75" customHeight="1" x14ac:dyDescent="0.3">
      <c r="A212" s="1" t="s">
        <v>778</v>
      </c>
      <c r="B212" s="2" t="s">
        <v>779</v>
      </c>
      <c r="C212" s="2">
        <v>260000024</v>
      </c>
      <c r="D212" s="1" t="s">
        <v>780</v>
      </c>
      <c r="E212" s="1" t="s">
        <v>781</v>
      </c>
      <c r="F212" s="1" t="s">
        <v>67</v>
      </c>
      <c r="G212" s="1" t="s">
        <v>68</v>
      </c>
      <c r="H212" s="1" t="s">
        <v>69</v>
      </c>
      <c r="I212" s="1" t="s">
        <v>10</v>
      </c>
      <c r="K212" s="1">
        <v>0</v>
      </c>
      <c r="L212" s="1" t="s">
        <v>74</v>
      </c>
      <c r="M212" s="1" t="s">
        <v>74</v>
      </c>
      <c r="N212" s="1" t="s">
        <v>74</v>
      </c>
      <c r="O212" s="1" t="s">
        <v>74</v>
      </c>
      <c r="P212" s="1" t="s">
        <v>10</v>
      </c>
      <c r="Q212" s="1" t="s">
        <v>80</v>
      </c>
      <c r="R212" s="1" t="s">
        <v>168</v>
      </c>
      <c r="T212" s="1">
        <v>44</v>
      </c>
      <c r="U212" s="1">
        <v>35</v>
      </c>
      <c r="V212" s="1">
        <v>14</v>
      </c>
      <c r="X212" s="1">
        <v>2</v>
      </c>
      <c r="Y212" s="1">
        <v>2</v>
      </c>
      <c r="AB212" s="1">
        <v>1</v>
      </c>
      <c r="AC212" s="1">
        <v>1</v>
      </c>
      <c r="AE212" s="1" t="s">
        <v>77</v>
      </c>
      <c r="AF212" s="12">
        <v>1</v>
      </c>
      <c r="AG212" s="12">
        <v>0</v>
      </c>
      <c r="AH212" s="12">
        <v>1</v>
      </c>
      <c r="AI212" s="13">
        <v>38</v>
      </c>
      <c r="AJ212" s="13">
        <v>38</v>
      </c>
      <c r="AK212" s="13">
        <v>38</v>
      </c>
      <c r="AL212" s="13">
        <v>0</v>
      </c>
      <c r="AM212" s="14"/>
      <c r="AN212" s="14"/>
      <c r="AO212" s="3"/>
      <c r="AP212" s="14">
        <v>0</v>
      </c>
      <c r="AQ212" s="14">
        <v>1</v>
      </c>
      <c r="AR212" s="3">
        <f t="shared" si="28"/>
        <v>0</v>
      </c>
      <c r="AZ212" s="1">
        <f t="shared" si="1"/>
        <v>0</v>
      </c>
    </row>
    <row r="213" spans="1:52" ht="15.75" customHeight="1" x14ac:dyDescent="0.3">
      <c r="A213" s="1" t="s">
        <v>782</v>
      </c>
      <c r="B213" s="2" t="s">
        <v>783</v>
      </c>
      <c r="C213" s="2">
        <v>260000036</v>
      </c>
      <c r="D213" s="1" t="s">
        <v>772</v>
      </c>
      <c r="E213" s="1" t="s">
        <v>773</v>
      </c>
      <c r="F213" s="1" t="s">
        <v>67</v>
      </c>
      <c r="G213" s="1" t="s">
        <v>68</v>
      </c>
      <c r="H213" s="1" t="s">
        <v>69</v>
      </c>
      <c r="I213" s="1" t="s">
        <v>10</v>
      </c>
      <c r="K213" s="1">
        <v>0</v>
      </c>
      <c r="L213" s="1" t="s">
        <v>774</v>
      </c>
      <c r="M213" s="1" t="s">
        <v>775</v>
      </c>
      <c r="N213" s="1" t="s">
        <v>776</v>
      </c>
      <c r="O213" s="1" t="s">
        <v>108</v>
      </c>
      <c r="P213" s="1" t="s">
        <v>10</v>
      </c>
      <c r="Q213" s="1" t="s">
        <v>80</v>
      </c>
      <c r="R213" s="1" t="s">
        <v>109</v>
      </c>
      <c r="T213" s="1">
        <v>90</v>
      </c>
      <c r="U213" s="1">
        <v>50</v>
      </c>
      <c r="AE213" s="1" t="s">
        <v>110</v>
      </c>
      <c r="AF213" s="12">
        <v>180</v>
      </c>
      <c r="AG213" s="12">
        <v>74</v>
      </c>
      <c r="AH213" s="12">
        <v>106</v>
      </c>
      <c r="AI213" s="12">
        <v>40.159090909090907</v>
      </c>
      <c r="AJ213" s="12">
        <v>64</v>
      </c>
      <c r="AK213" s="12">
        <v>25</v>
      </c>
      <c r="AL213" s="12">
        <v>10.487419798309501</v>
      </c>
      <c r="AM213" s="14"/>
      <c r="AN213" s="14"/>
      <c r="AO213" s="3"/>
      <c r="AP213" s="14">
        <v>0</v>
      </c>
      <c r="AQ213" s="14">
        <v>180</v>
      </c>
      <c r="AR213" s="3">
        <f t="shared" si="28"/>
        <v>0</v>
      </c>
      <c r="AS213" s="1">
        <v>6</v>
      </c>
      <c r="AT213" s="1">
        <v>0</v>
      </c>
      <c r="AU213" s="1">
        <v>2</v>
      </c>
      <c r="AV213" s="1">
        <v>2</v>
      </c>
      <c r="AW213" s="1">
        <v>0</v>
      </c>
      <c r="AX213" s="1">
        <v>2</v>
      </c>
      <c r="AY213" s="1">
        <v>2</v>
      </c>
      <c r="AZ213" s="1">
        <f t="shared" si="1"/>
        <v>14</v>
      </c>
    </row>
    <row r="214" spans="1:52" ht="15.75" customHeight="1" x14ac:dyDescent="0.3">
      <c r="A214" s="1" t="s">
        <v>784</v>
      </c>
      <c r="B214" s="2" t="s">
        <v>785</v>
      </c>
      <c r="C214" s="2">
        <v>260000036</v>
      </c>
      <c r="D214" s="1" t="s">
        <v>772</v>
      </c>
      <c r="E214" s="1" t="s">
        <v>773</v>
      </c>
      <c r="F214" s="1" t="s">
        <v>67</v>
      </c>
      <c r="G214" s="1" t="s">
        <v>68</v>
      </c>
      <c r="H214" s="1" t="s">
        <v>69</v>
      </c>
      <c r="I214" s="1" t="s">
        <v>10</v>
      </c>
      <c r="K214" s="1">
        <v>0</v>
      </c>
      <c r="L214" s="1" t="s">
        <v>774</v>
      </c>
      <c r="M214" s="1" t="s">
        <v>775</v>
      </c>
      <c r="N214" s="1" t="s">
        <v>776</v>
      </c>
      <c r="O214" s="1" t="s">
        <v>108</v>
      </c>
      <c r="P214" s="1" t="s">
        <v>10</v>
      </c>
      <c r="Q214" s="1" t="s">
        <v>80</v>
      </c>
      <c r="R214" s="1" t="s">
        <v>786</v>
      </c>
      <c r="T214" s="1">
        <v>15</v>
      </c>
      <c r="U214" s="1">
        <v>12</v>
      </c>
      <c r="AE214" s="1" t="s">
        <v>110</v>
      </c>
      <c r="AF214" s="12">
        <v>30</v>
      </c>
      <c r="AG214" s="12">
        <v>12</v>
      </c>
      <c r="AH214" s="12">
        <v>18</v>
      </c>
      <c r="AI214" s="12">
        <v>41.466666666666669</v>
      </c>
      <c r="AJ214" s="12">
        <v>63</v>
      </c>
      <c r="AK214" s="12">
        <v>28</v>
      </c>
      <c r="AL214" s="12">
        <v>8.9586534291916795</v>
      </c>
      <c r="AM214" s="14"/>
      <c r="AN214" s="14"/>
      <c r="AO214" s="3"/>
      <c r="AP214" s="14">
        <v>0</v>
      </c>
      <c r="AQ214" s="14">
        <v>30</v>
      </c>
      <c r="AR214" s="3">
        <f t="shared" si="28"/>
        <v>0</v>
      </c>
      <c r="AZ214" s="1">
        <f t="shared" si="1"/>
        <v>0</v>
      </c>
    </row>
    <row r="215" spans="1:52" ht="15.75" customHeight="1" x14ac:dyDescent="0.3">
      <c r="A215" s="1" t="s">
        <v>787</v>
      </c>
      <c r="B215" s="2" t="s">
        <v>788</v>
      </c>
      <c r="C215" s="2">
        <v>260000036</v>
      </c>
      <c r="D215" s="1" t="s">
        <v>772</v>
      </c>
      <c r="E215" s="1" t="s">
        <v>773</v>
      </c>
      <c r="F215" s="1" t="s">
        <v>67</v>
      </c>
      <c r="G215" s="1" t="s">
        <v>68</v>
      </c>
      <c r="H215" s="1" t="s">
        <v>69</v>
      </c>
      <c r="I215" s="1" t="s">
        <v>10</v>
      </c>
      <c r="K215" s="1">
        <v>0</v>
      </c>
      <c r="L215" s="1" t="s">
        <v>774</v>
      </c>
      <c r="M215" s="1" t="s">
        <v>775</v>
      </c>
      <c r="N215" s="1" t="s">
        <v>776</v>
      </c>
      <c r="O215" s="1" t="s">
        <v>108</v>
      </c>
      <c r="P215" s="1" t="s">
        <v>10</v>
      </c>
      <c r="Q215" s="1" t="s">
        <v>80</v>
      </c>
      <c r="R215" s="1" t="s">
        <v>254</v>
      </c>
      <c r="T215" s="1">
        <v>34</v>
      </c>
      <c r="U215" s="1">
        <v>32</v>
      </c>
      <c r="AE215" s="1" t="s">
        <v>110</v>
      </c>
      <c r="AF215" s="12">
        <v>68</v>
      </c>
      <c r="AG215" s="12">
        <v>46</v>
      </c>
      <c r="AH215" s="12">
        <v>22</v>
      </c>
      <c r="AI215" s="12">
        <v>43.147058823529413</v>
      </c>
      <c r="AJ215" s="12">
        <v>64</v>
      </c>
      <c r="AK215" s="12">
        <v>24</v>
      </c>
      <c r="AL215" s="12">
        <v>10.622792597224716</v>
      </c>
      <c r="AM215" s="14"/>
      <c r="AN215" s="14"/>
      <c r="AO215" s="3"/>
      <c r="AP215" s="14">
        <v>0</v>
      </c>
      <c r="AQ215" s="14">
        <v>68</v>
      </c>
      <c r="AR215" s="3">
        <f t="shared" si="28"/>
        <v>0</v>
      </c>
      <c r="AS215" s="1">
        <v>12</v>
      </c>
      <c r="AT215" s="1">
        <v>0</v>
      </c>
      <c r="AU215" s="1">
        <v>1</v>
      </c>
      <c r="AV215" s="1">
        <v>2</v>
      </c>
      <c r="AW215" s="1">
        <v>0</v>
      </c>
      <c r="AX215" s="1">
        <v>0</v>
      </c>
      <c r="AY215" s="1">
        <v>0</v>
      </c>
      <c r="AZ215" s="1">
        <f t="shared" si="1"/>
        <v>15</v>
      </c>
    </row>
    <row r="216" spans="1:52" ht="15.75" customHeight="1" x14ac:dyDescent="0.3">
      <c r="A216" s="1" t="s">
        <v>789</v>
      </c>
      <c r="B216" s="2" t="s">
        <v>790</v>
      </c>
      <c r="C216" s="2">
        <v>260000036</v>
      </c>
      <c r="D216" s="1" t="s">
        <v>772</v>
      </c>
      <c r="E216" s="1" t="s">
        <v>773</v>
      </c>
      <c r="F216" s="1" t="s">
        <v>67</v>
      </c>
      <c r="G216" s="1" t="s">
        <v>68</v>
      </c>
      <c r="H216" s="1" t="s">
        <v>69</v>
      </c>
      <c r="I216" s="1" t="s">
        <v>10</v>
      </c>
      <c r="K216" s="1">
        <v>0</v>
      </c>
      <c r="L216" s="1" t="s">
        <v>774</v>
      </c>
      <c r="M216" s="1" t="s">
        <v>791</v>
      </c>
      <c r="N216" s="1" t="s">
        <v>776</v>
      </c>
      <c r="O216" s="1" t="s">
        <v>108</v>
      </c>
      <c r="P216" s="1" t="s">
        <v>10</v>
      </c>
      <c r="Q216" s="1" t="s">
        <v>80</v>
      </c>
      <c r="R216" s="1" t="s">
        <v>192</v>
      </c>
      <c r="T216" s="1">
        <v>11</v>
      </c>
      <c r="U216" s="1">
        <v>11</v>
      </c>
      <c r="AE216" s="1" t="s">
        <v>110</v>
      </c>
      <c r="AF216" s="12">
        <v>22</v>
      </c>
      <c r="AG216" s="12">
        <v>10</v>
      </c>
      <c r="AH216" s="12">
        <v>12</v>
      </c>
      <c r="AI216" s="12">
        <v>43.363636363636367</v>
      </c>
      <c r="AJ216" s="12">
        <v>61</v>
      </c>
      <c r="AK216" s="12">
        <v>34</v>
      </c>
      <c r="AL216" s="12">
        <v>8.0388666255496943</v>
      </c>
      <c r="AM216" s="14"/>
      <c r="AN216" s="14"/>
      <c r="AO216" s="3"/>
      <c r="AP216" s="14">
        <v>0</v>
      </c>
      <c r="AQ216" s="14">
        <v>22</v>
      </c>
      <c r="AR216" s="3">
        <f t="shared" si="28"/>
        <v>0</v>
      </c>
      <c r="AS216" s="1">
        <v>0</v>
      </c>
      <c r="AT216" s="1">
        <v>0</v>
      </c>
      <c r="AU216" s="1">
        <v>0</v>
      </c>
      <c r="AV216" s="1">
        <v>1</v>
      </c>
      <c r="AW216" s="1">
        <v>0</v>
      </c>
      <c r="AX216" s="1">
        <v>1</v>
      </c>
      <c r="AY216" s="1">
        <v>0</v>
      </c>
      <c r="AZ216" s="1">
        <f t="shared" si="1"/>
        <v>2</v>
      </c>
    </row>
    <row r="217" spans="1:52" ht="15.75" customHeight="1" x14ac:dyDescent="0.3">
      <c r="A217" s="1" t="s">
        <v>792</v>
      </c>
      <c r="B217" s="2" t="s">
        <v>793</v>
      </c>
      <c r="C217" s="2">
        <v>260000024</v>
      </c>
      <c r="D217" s="1" t="s">
        <v>780</v>
      </c>
      <c r="E217" s="1" t="s">
        <v>781</v>
      </c>
      <c r="F217" s="1" t="s">
        <v>67</v>
      </c>
      <c r="G217" s="1" t="s">
        <v>68</v>
      </c>
      <c r="H217" s="1" t="s">
        <v>69</v>
      </c>
      <c r="I217" s="1" t="s">
        <v>10</v>
      </c>
      <c r="K217" s="1">
        <v>0</v>
      </c>
      <c r="L217" s="1" t="s">
        <v>74</v>
      </c>
      <c r="M217" s="1" t="s">
        <v>74</v>
      </c>
      <c r="N217" s="1" t="s">
        <v>74</v>
      </c>
      <c r="O217" s="1" t="s">
        <v>74</v>
      </c>
      <c r="P217" s="1" t="s">
        <v>10</v>
      </c>
      <c r="Q217" s="1" t="s">
        <v>80</v>
      </c>
      <c r="R217" s="1" t="s">
        <v>519</v>
      </c>
      <c r="U217" s="1">
        <v>1</v>
      </c>
      <c r="V217" s="1">
        <v>1</v>
      </c>
      <c r="AE217" s="1" t="s">
        <v>175</v>
      </c>
      <c r="AF217" s="12">
        <v>2</v>
      </c>
      <c r="AG217" s="12">
        <v>0</v>
      </c>
      <c r="AH217" s="12">
        <v>2</v>
      </c>
      <c r="AI217" s="12">
        <v>44</v>
      </c>
      <c r="AJ217" s="12">
        <v>44</v>
      </c>
      <c r="AK217" s="12">
        <v>44</v>
      </c>
      <c r="AL217" s="12">
        <v>0</v>
      </c>
      <c r="AM217" s="14"/>
      <c r="AN217" s="14"/>
      <c r="AO217" s="3"/>
      <c r="AP217" s="14">
        <v>0</v>
      </c>
      <c r="AQ217" s="14">
        <v>2</v>
      </c>
      <c r="AR217" s="3">
        <f t="shared" si="28"/>
        <v>0</v>
      </c>
      <c r="AZ217" s="1">
        <f t="shared" si="1"/>
        <v>0</v>
      </c>
    </row>
    <row r="218" spans="1:52" ht="15.75" customHeight="1" x14ac:dyDescent="0.3">
      <c r="A218" s="1" t="s">
        <v>794</v>
      </c>
      <c r="B218" s="2" t="s">
        <v>795</v>
      </c>
      <c r="C218" s="2">
        <v>260000024</v>
      </c>
      <c r="D218" s="1" t="s">
        <v>780</v>
      </c>
      <c r="E218" s="1" t="s">
        <v>781</v>
      </c>
      <c r="F218" s="1" t="s">
        <v>67</v>
      </c>
      <c r="G218" s="1" t="s">
        <v>68</v>
      </c>
      <c r="H218" s="1" t="s">
        <v>69</v>
      </c>
      <c r="I218" s="1" t="s">
        <v>10</v>
      </c>
      <c r="K218" s="1">
        <v>0</v>
      </c>
      <c r="L218" s="1" t="s">
        <v>74</v>
      </c>
      <c r="M218" s="1" t="s">
        <v>74</v>
      </c>
      <c r="N218" s="1" t="s">
        <v>74</v>
      </c>
      <c r="O218" s="1" t="s">
        <v>74</v>
      </c>
      <c r="P218" s="1" t="s">
        <v>10</v>
      </c>
      <c r="Q218" s="1" t="s">
        <v>80</v>
      </c>
      <c r="R218" s="1" t="s">
        <v>210</v>
      </c>
      <c r="T218" s="1">
        <v>3</v>
      </c>
      <c r="U218" s="1">
        <v>3</v>
      </c>
      <c r="AE218" s="1" t="s">
        <v>110</v>
      </c>
      <c r="AF218" s="12">
        <v>6</v>
      </c>
      <c r="AG218" s="12">
        <v>4</v>
      </c>
      <c r="AH218" s="12">
        <v>2</v>
      </c>
      <c r="AI218" s="12">
        <v>44.666666666666664</v>
      </c>
      <c r="AJ218" s="12">
        <v>60</v>
      </c>
      <c r="AK218" s="12">
        <v>26</v>
      </c>
      <c r="AL218" s="12">
        <v>15.422926656982675</v>
      </c>
      <c r="AM218" s="14"/>
      <c r="AN218" s="14"/>
      <c r="AO218" s="3"/>
      <c r="AP218" s="14">
        <v>0</v>
      </c>
      <c r="AQ218" s="14">
        <v>6</v>
      </c>
      <c r="AR218" s="3">
        <f t="shared" si="28"/>
        <v>0</v>
      </c>
      <c r="AZ218" s="1">
        <f t="shared" si="1"/>
        <v>0</v>
      </c>
    </row>
    <row r="219" spans="1:52" ht="15.75" customHeight="1" x14ac:dyDescent="0.3">
      <c r="A219" s="1" t="s">
        <v>796</v>
      </c>
      <c r="B219" s="2" t="s">
        <v>797</v>
      </c>
      <c r="C219" s="2">
        <v>260000070</v>
      </c>
      <c r="D219" s="1" t="s">
        <v>798</v>
      </c>
      <c r="E219" s="1" t="s">
        <v>799</v>
      </c>
      <c r="F219" s="1" t="s">
        <v>67</v>
      </c>
      <c r="G219" s="1" t="s">
        <v>68</v>
      </c>
      <c r="H219" s="1" t="s">
        <v>439</v>
      </c>
      <c r="I219" s="1" t="s">
        <v>10</v>
      </c>
      <c r="K219" s="1">
        <v>0</v>
      </c>
      <c r="L219" s="1" t="s">
        <v>800</v>
      </c>
      <c r="M219" s="1" t="s">
        <v>800</v>
      </c>
      <c r="N219" s="1" t="s">
        <v>800</v>
      </c>
      <c r="O219" s="1" t="s">
        <v>108</v>
      </c>
      <c r="P219" s="1" t="s">
        <v>10</v>
      </c>
      <c r="Q219" s="1" t="s">
        <v>80</v>
      </c>
      <c r="R219" s="1" t="s">
        <v>192</v>
      </c>
      <c r="T219" s="1">
        <v>10</v>
      </c>
      <c r="U219" s="1">
        <v>10</v>
      </c>
      <c r="V219" s="1">
        <v>9</v>
      </c>
      <c r="W219" s="1">
        <v>10</v>
      </c>
      <c r="AE219" s="1" t="s">
        <v>110</v>
      </c>
      <c r="AF219" s="12">
        <v>20</v>
      </c>
      <c r="AG219" s="12">
        <v>10</v>
      </c>
      <c r="AH219" s="12">
        <v>10</v>
      </c>
      <c r="AI219" s="12">
        <v>44.8</v>
      </c>
      <c r="AJ219" s="12">
        <v>70</v>
      </c>
      <c r="AK219" s="12">
        <v>31</v>
      </c>
      <c r="AL219" s="12">
        <v>13.097207416287755</v>
      </c>
      <c r="AM219" s="14"/>
      <c r="AN219" s="14"/>
      <c r="AO219" s="3"/>
      <c r="AP219" s="14">
        <v>0</v>
      </c>
      <c r="AQ219" s="14">
        <v>20</v>
      </c>
      <c r="AR219" s="3">
        <f t="shared" si="28"/>
        <v>0</v>
      </c>
      <c r="AZ219" s="1">
        <f t="shared" si="1"/>
        <v>0</v>
      </c>
    </row>
    <row r="220" spans="1:52" ht="15.75" customHeight="1" x14ac:dyDescent="0.3">
      <c r="A220" s="1" t="s">
        <v>801</v>
      </c>
      <c r="B220" s="2" t="s">
        <v>802</v>
      </c>
      <c r="C220" s="2">
        <v>260000024</v>
      </c>
      <c r="D220" s="1" t="s">
        <v>780</v>
      </c>
      <c r="E220" s="1" t="s">
        <v>781</v>
      </c>
      <c r="F220" s="1" t="s">
        <v>67</v>
      </c>
      <c r="G220" s="1" t="s">
        <v>68</v>
      </c>
      <c r="H220" s="1" t="s">
        <v>69</v>
      </c>
      <c r="I220" s="1" t="s">
        <v>10</v>
      </c>
      <c r="K220" s="1">
        <v>0</v>
      </c>
      <c r="L220" s="1" t="s">
        <v>74</v>
      </c>
      <c r="M220" s="1" t="s">
        <v>74</v>
      </c>
      <c r="N220" s="1" t="s">
        <v>74</v>
      </c>
      <c r="O220" s="1" t="s">
        <v>74</v>
      </c>
      <c r="P220" s="1" t="s">
        <v>10</v>
      </c>
      <c r="Q220" s="1" t="s">
        <v>80</v>
      </c>
      <c r="R220" s="1" t="s">
        <v>312</v>
      </c>
      <c r="T220" s="1">
        <v>9</v>
      </c>
      <c r="U220" s="1">
        <v>4</v>
      </c>
      <c r="V220" s="1">
        <v>5</v>
      </c>
      <c r="AE220" s="1" t="s">
        <v>110</v>
      </c>
      <c r="AF220" s="12">
        <v>18</v>
      </c>
      <c r="AG220" s="12">
        <v>8</v>
      </c>
      <c r="AH220" s="12">
        <v>10</v>
      </c>
      <c r="AI220" s="12">
        <v>45.222222222222221</v>
      </c>
      <c r="AJ220" s="12">
        <v>59</v>
      </c>
      <c r="AK220" s="12">
        <v>33</v>
      </c>
      <c r="AL220" s="12">
        <v>9.2517442270001169</v>
      </c>
      <c r="AM220" s="14"/>
      <c r="AN220" s="14"/>
      <c r="AO220" s="3"/>
      <c r="AP220" s="14">
        <v>2</v>
      </c>
      <c r="AQ220" s="14">
        <v>16</v>
      </c>
      <c r="AR220" s="3">
        <f t="shared" si="28"/>
        <v>0.125</v>
      </c>
      <c r="AZ220" s="1">
        <f t="shared" si="1"/>
        <v>0</v>
      </c>
    </row>
    <row r="221" spans="1:52" ht="15.75" customHeight="1" x14ac:dyDescent="0.3">
      <c r="A221" s="1" t="s">
        <v>803</v>
      </c>
      <c r="B221" s="2" t="s">
        <v>804</v>
      </c>
      <c r="C221" s="2">
        <v>260000036</v>
      </c>
      <c r="D221" s="1" t="s">
        <v>772</v>
      </c>
      <c r="E221" s="1" t="s">
        <v>773</v>
      </c>
      <c r="F221" s="1" t="s">
        <v>67</v>
      </c>
      <c r="G221" s="1" t="s">
        <v>68</v>
      </c>
      <c r="H221" s="1" t="s">
        <v>69</v>
      </c>
      <c r="I221" s="1" t="s">
        <v>10</v>
      </c>
      <c r="K221" s="1">
        <v>0</v>
      </c>
      <c r="L221" s="1" t="s">
        <v>774</v>
      </c>
      <c r="M221" s="1" t="s">
        <v>775</v>
      </c>
      <c r="N221" s="1" t="s">
        <v>776</v>
      </c>
      <c r="O221" s="1" t="s">
        <v>108</v>
      </c>
      <c r="P221" s="1" t="s">
        <v>10</v>
      </c>
      <c r="Q221" s="1" t="s">
        <v>80</v>
      </c>
      <c r="R221" s="1" t="s">
        <v>315</v>
      </c>
      <c r="T221" s="1">
        <v>42</v>
      </c>
      <c r="U221" s="1">
        <v>41</v>
      </c>
      <c r="AE221" s="1" t="s">
        <v>110</v>
      </c>
      <c r="AF221" s="12">
        <v>84</v>
      </c>
      <c r="AG221" s="12">
        <v>50</v>
      </c>
      <c r="AH221" s="12">
        <v>34</v>
      </c>
      <c r="AI221" s="12">
        <v>46.214285714285715</v>
      </c>
      <c r="AJ221" s="12">
        <v>69</v>
      </c>
      <c r="AK221" s="12">
        <v>26</v>
      </c>
      <c r="AL221" s="12">
        <v>9.1744425372439498</v>
      </c>
      <c r="AM221" s="14"/>
      <c r="AN221" s="14"/>
      <c r="AO221" s="3"/>
      <c r="AP221" s="14">
        <v>0</v>
      </c>
      <c r="AQ221" s="14">
        <v>84</v>
      </c>
      <c r="AR221" s="3">
        <f t="shared" si="28"/>
        <v>0</v>
      </c>
      <c r="AS221" s="1">
        <v>0</v>
      </c>
      <c r="AT221" s="1">
        <v>0</v>
      </c>
      <c r="AU221" s="1">
        <v>1</v>
      </c>
      <c r="AV221" s="1">
        <v>1</v>
      </c>
      <c r="AW221" s="1">
        <v>0</v>
      </c>
      <c r="AX221" s="1">
        <v>0</v>
      </c>
      <c r="AY221" s="1">
        <v>0</v>
      </c>
      <c r="AZ221" s="1">
        <f t="shared" si="1"/>
        <v>2</v>
      </c>
    </row>
    <row r="222" spans="1:52" ht="15.75" customHeight="1" x14ac:dyDescent="0.3">
      <c r="A222" s="1" t="s">
        <v>805</v>
      </c>
      <c r="B222" s="2" t="s">
        <v>806</v>
      </c>
      <c r="C222" s="2">
        <v>160000813</v>
      </c>
      <c r="D222" s="1" t="s">
        <v>807</v>
      </c>
      <c r="E222" s="1" t="s">
        <v>808</v>
      </c>
      <c r="F222" s="1" t="s">
        <v>809</v>
      </c>
      <c r="G222" s="1" t="s">
        <v>86</v>
      </c>
      <c r="H222" s="1" t="s">
        <v>87</v>
      </c>
      <c r="I222" s="1" t="s">
        <v>10</v>
      </c>
      <c r="K222" s="1">
        <v>0</v>
      </c>
      <c r="L222" s="1" t="s">
        <v>731</v>
      </c>
      <c r="M222" s="1" t="s">
        <v>74</v>
      </c>
      <c r="N222" s="1" t="s">
        <v>74</v>
      </c>
      <c r="O222" s="1" t="s">
        <v>74</v>
      </c>
      <c r="P222" s="1" t="s">
        <v>10</v>
      </c>
      <c r="Q222" s="1" t="s">
        <v>80</v>
      </c>
      <c r="R222" s="1" t="s">
        <v>810</v>
      </c>
      <c r="V222" s="1">
        <v>69</v>
      </c>
      <c r="X222" s="1">
        <v>63</v>
      </c>
      <c r="Y222" s="1">
        <v>104</v>
      </c>
      <c r="Z222" s="1">
        <v>147</v>
      </c>
      <c r="AA222" s="1">
        <v>114</v>
      </c>
      <c r="AB222" s="1">
        <v>147</v>
      </c>
      <c r="AC222" s="1">
        <v>93</v>
      </c>
      <c r="AD222" s="1">
        <v>69</v>
      </c>
      <c r="AE222" s="1" t="s">
        <v>77</v>
      </c>
      <c r="AF222" s="12">
        <v>147</v>
      </c>
      <c r="AG222" s="12">
        <v>14</v>
      </c>
      <c r="AH222" s="12">
        <v>133</v>
      </c>
      <c r="AI222" s="13">
        <v>46.598639455782312</v>
      </c>
      <c r="AJ222" s="13">
        <v>63</v>
      </c>
      <c r="AK222" s="13">
        <v>32</v>
      </c>
      <c r="AL222" s="13">
        <v>5.0486128081806703</v>
      </c>
      <c r="AM222" s="14">
        <v>35</v>
      </c>
      <c r="AN222" s="14">
        <v>35</v>
      </c>
      <c r="AO222" s="3">
        <f t="shared" ref="AO222:AO223" si="29">AN222/AM222</f>
        <v>1</v>
      </c>
      <c r="AP222" s="14">
        <v>0</v>
      </c>
      <c r="AQ222" s="14">
        <v>147</v>
      </c>
      <c r="AR222" s="3">
        <f t="shared" si="28"/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43</v>
      </c>
      <c r="AY222" s="1">
        <v>0</v>
      </c>
      <c r="AZ222" s="1">
        <f t="shared" si="1"/>
        <v>43</v>
      </c>
    </row>
    <row r="223" spans="1:52" ht="15.75" customHeight="1" x14ac:dyDescent="0.3">
      <c r="A223" s="1" t="s">
        <v>811</v>
      </c>
      <c r="B223" s="2" t="s">
        <v>812</v>
      </c>
      <c r="C223" s="2">
        <v>160000801</v>
      </c>
      <c r="D223" s="1" t="s">
        <v>813</v>
      </c>
      <c r="E223" s="1" t="s">
        <v>808</v>
      </c>
      <c r="F223" s="1" t="s">
        <v>814</v>
      </c>
      <c r="G223" s="1" t="s">
        <v>86</v>
      </c>
      <c r="H223" s="1" t="s">
        <v>87</v>
      </c>
      <c r="I223" s="1" t="s">
        <v>10</v>
      </c>
      <c r="K223" s="1">
        <v>0</v>
      </c>
      <c r="L223" s="1" t="s">
        <v>815</v>
      </c>
      <c r="M223" s="1" t="s">
        <v>74</v>
      </c>
      <c r="N223" s="1" t="s">
        <v>74</v>
      </c>
      <c r="O223" s="1" t="s">
        <v>74</v>
      </c>
      <c r="P223" s="1" t="s">
        <v>10</v>
      </c>
      <c r="Q223" s="1" t="s">
        <v>80</v>
      </c>
      <c r="R223" s="1" t="s">
        <v>816</v>
      </c>
      <c r="U223" s="1">
        <v>51</v>
      </c>
      <c r="W223" s="1">
        <v>35</v>
      </c>
      <c r="X223" s="1">
        <v>88</v>
      </c>
      <c r="Y223" s="1">
        <v>18</v>
      </c>
      <c r="Z223" s="1">
        <v>15</v>
      </c>
      <c r="AA223" s="1">
        <v>23</v>
      </c>
      <c r="AB223" s="1">
        <v>71</v>
      </c>
      <c r="AC223" s="1">
        <v>71</v>
      </c>
      <c r="AD223" s="1">
        <v>56</v>
      </c>
      <c r="AE223" s="1" t="s">
        <v>77</v>
      </c>
      <c r="AF223" s="12">
        <v>71</v>
      </c>
      <c r="AG223" s="12">
        <v>16</v>
      </c>
      <c r="AH223" s="12">
        <v>55</v>
      </c>
      <c r="AI223" s="13">
        <v>47.842857142857142</v>
      </c>
      <c r="AJ223" s="13">
        <v>70</v>
      </c>
      <c r="AK223" s="13">
        <v>33</v>
      </c>
      <c r="AL223" s="13">
        <v>8.4212218368638716</v>
      </c>
      <c r="AM223" s="14">
        <v>88</v>
      </c>
      <c r="AN223" s="14">
        <v>88</v>
      </c>
      <c r="AO223" s="3">
        <f t="shared" si="29"/>
        <v>1</v>
      </c>
      <c r="AP223" s="14">
        <v>0</v>
      </c>
      <c r="AQ223" s="14">
        <v>71</v>
      </c>
      <c r="AR223" s="3">
        <f t="shared" si="28"/>
        <v>0</v>
      </c>
      <c r="AS223" s="1">
        <v>0</v>
      </c>
      <c r="AT223" s="1">
        <v>0</v>
      </c>
      <c r="AU223" s="1">
        <v>35</v>
      </c>
      <c r="AV223" s="1">
        <v>31</v>
      </c>
      <c r="AW223" s="1">
        <v>0</v>
      </c>
      <c r="AX223" s="1">
        <v>0</v>
      </c>
      <c r="AY223" s="1">
        <v>0</v>
      </c>
      <c r="AZ223" s="1">
        <f t="shared" si="1"/>
        <v>66</v>
      </c>
    </row>
    <row r="224" spans="1:52" ht="15.75" customHeight="1" x14ac:dyDescent="0.3">
      <c r="A224" s="1" t="s">
        <v>817</v>
      </c>
      <c r="B224" s="2" t="s">
        <v>818</v>
      </c>
      <c r="C224" s="2" t="s">
        <v>819</v>
      </c>
      <c r="D224" s="1" t="s">
        <v>820</v>
      </c>
      <c r="E224" s="1" t="s">
        <v>821</v>
      </c>
      <c r="F224" s="1" t="s">
        <v>67</v>
      </c>
      <c r="G224" s="1" t="s">
        <v>68</v>
      </c>
      <c r="H224" s="1" t="s">
        <v>69</v>
      </c>
      <c r="I224" s="1" t="s">
        <v>10</v>
      </c>
      <c r="K224" s="1">
        <v>0</v>
      </c>
      <c r="L224" s="1" t="s">
        <v>822</v>
      </c>
      <c r="M224" s="1" t="s">
        <v>823</v>
      </c>
      <c r="N224" s="1" t="s">
        <v>822</v>
      </c>
      <c r="O224" s="1" t="s">
        <v>150</v>
      </c>
      <c r="P224" s="1" t="s">
        <v>10</v>
      </c>
      <c r="Q224" s="1" t="s">
        <v>80</v>
      </c>
      <c r="R224" s="1" t="s">
        <v>315</v>
      </c>
      <c r="T224" s="1">
        <v>19</v>
      </c>
      <c r="U224" s="1">
        <v>18</v>
      </c>
      <c r="V224" s="1">
        <v>13</v>
      </c>
      <c r="W224" s="1">
        <v>10</v>
      </c>
      <c r="AE224" s="1" t="s">
        <v>110</v>
      </c>
      <c r="AF224" s="12">
        <v>38</v>
      </c>
      <c r="AG224" s="12">
        <v>18</v>
      </c>
      <c r="AH224" s="12">
        <v>20</v>
      </c>
      <c r="AI224" s="12">
        <v>48</v>
      </c>
      <c r="AJ224" s="12">
        <v>62</v>
      </c>
      <c r="AK224" s="12">
        <v>36</v>
      </c>
      <c r="AL224" s="12">
        <v>8.3350875346649076</v>
      </c>
      <c r="AM224" s="14"/>
      <c r="AN224" s="14"/>
      <c r="AO224" s="3"/>
      <c r="AP224" s="14">
        <v>0</v>
      </c>
      <c r="AQ224" s="14">
        <v>38</v>
      </c>
      <c r="AR224" s="3">
        <f t="shared" si="28"/>
        <v>0</v>
      </c>
      <c r="AS224" s="1">
        <v>0</v>
      </c>
      <c r="AT224" s="1">
        <v>0</v>
      </c>
      <c r="AU224" s="1">
        <v>0</v>
      </c>
      <c r="AV224" s="1">
        <v>1</v>
      </c>
      <c r="AW224" s="1">
        <v>0</v>
      </c>
      <c r="AX224" s="1">
        <v>0</v>
      </c>
      <c r="AY224" s="1">
        <v>0</v>
      </c>
      <c r="AZ224" s="1">
        <f t="shared" si="1"/>
        <v>1</v>
      </c>
    </row>
    <row r="225" spans="1:52" ht="15.75" customHeight="1" x14ac:dyDescent="0.3">
      <c r="A225" s="1" t="s">
        <v>824</v>
      </c>
      <c r="B225" s="2" t="s">
        <v>825</v>
      </c>
      <c r="C225" s="2">
        <v>260000059</v>
      </c>
      <c r="D225" s="1" t="s">
        <v>826</v>
      </c>
      <c r="E225" s="1" t="s">
        <v>827</v>
      </c>
      <c r="F225" s="1" t="s">
        <v>67</v>
      </c>
      <c r="G225" s="1" t="s">
        <v>68</v>
      </c>
      <c r="H225" s="1" t="s">
        <v>439</v>
      </c>
      <c r="I225" s="1" t="s">
        <v>10</v>
      </c>
      <c r="K225" s="1">
        <v>0</v>
      </c>
      <c r="L225" s="1" t="s">
        <v>731</v>
      </c>
      <c r="M225" s="1" t="s">
        <v>74</v>
      </c>
      <c r="N225" s="1" t="s">
        <v>74</v>
      </c>
      <c r="O225" s="1" t="s">
        <v>74</v>
      </c>
      <c r="P225" s="1" t="s">
        <v>10</v>
      </c>
      <c r="Q225" s="1" t="s">
        <v>80</v>
      </c>
      <c r="R225" s="1" t="s">
        <v>254</v>
      </c>
      <c r="U225" s="1">
        <v>8</v>
      </c>
      <c r="V225" s="1">
        <v>15</v>
      </c>
      <c r="W225" s="1">
        <v>15</v>
      </c>
      <c r="X225" s="1">
        <v>1</v>
      </c>
      <c r="Y225" s="1">
        <v>1</v>
      </c>
      <c r="AE225" s="1" t="s">
        <v>726</v>
      </c>
      <c r="AF225" s="12">
        <v>2</v>
      </c>
      <c r="AG225" s="12">
        <v>0</v>
      </c>
      <c r="AH225" s="12">
        <v>2</v>
      </c>
      <c r="AI225" s="12">
        <v>48</v>
      </c>
      <c r="AJ225" s="12">
        <v>48</v>
      </c>
      <c r="AK225" s="12">
        <v>48</v>
      </c>
      <c r="AL225" s="12">
        <v>0</v>
      </c>
      <c r="AM225" s="14"/>
      <c r="AN225" s="14"/>
      <c r="AO225" s="3"/>
      <c r="AP225" s="14">
        <v>0</v>
      </c>
      <c r="AQ225" s="14">
        <v>2</v>
      </c>
      <c r="AR225" s="3">
        <f t="shared" si="28"/>
        <v>0</v>
      </c>
      <c r="AZ225" s="1">
        <f t="shared" si="1"/>
        <v>0</v>
      </c>
    </row>
    <row r="226" spans="1:52" ht="15.75" customHeight="1" x14ac:dyDescent="0.3">
      <c r="A226" s="1" t="s">
        <v>828</v>
      </c>
      <c r="B226" s="2" t="s">
        <v>829</v>
      </c>
      <c r="C226" s="2">
        <v>260000070</v>
      </c>
      <c r="D226" s="1" t="s">
        <v>798</v>
      </c>
      <c r="E226" s="1" t="s">
        <v>799</v>
      </c>
      <c r="F226" s="1" t="s">
        <v>67</v>
      </c>
      <c r="G226" s="1" t="s">
        <v>68</v>
      </c>
      <c r="H226" s="1" t="s">
        <v>439</v>
      </c>
      <c r="I226" s="1" t="s">
        <v>10</v>
      </c>
      <c r="K226" s="1">
        <v>0</v>
      </c>
      <c r="L226" s="1" t="s">
        <v>800</v>
      </c>
      <c r="M226" s="1" t="s">
        <v>800</v>
      </c>
      <c r="N226" s="1" t="s">
        <v>800</v>
      </c>
      <c r="O226" s="1" t="s">
        <v>108</v>
      </c>
      <c r="P226" s="1" t="s">
        <v>10</v>
      </c>
      <c r="Q226" s="1" t="s">
        <v>80</v>
      </c>
      <c r="R226" s="1" t="s">
        <v>225</v>
      </c>
      <c r="T226" s="1">
        <v>3</v>
      </c>
      <c r="U226" s="1">
        <v>3</v>
      </c>
      <c r="V226" s="1">
        <v>3</v>
      </c>
      <c r="W226" s="1">
        <v>3</v>
      </c>
      <c r="AE226" s="1" t="s">
        <v>110</v>
      </c>
      <c r="AF226" s="12">
        <v>6</v>
      </c>
      <c r="AG226" s="12">
        <v>4</v>
      </c>
      <c r="AH226" s="12">
        <v>2</v>
      </c>
      <c r="AI226" s="12">
        <v>49</v>
      </c>
      <c r="AJ226" s="12">
        <v>62</v>
      </c>
      <c r="AK226" s="12">
        <v>40</v>
      </c>
      <c r="AL226" s="12">
        <v>10.315037566582102</v>
      </c>
      <c r="AM226" s="14"/>
      <c r="AN226" s="14"/>
      <c r="AO226" s="3"/>
      <c r="AP226" s="14">
        <v>0</v>
      </c>
      <c r="AQ226" s="14">
        <v>6</v>
      </c>
      <c r="AR226" s="3">
        <f t="shared" si="28"/>
        <v>0</v>
      </c>
      <c r="AZ226" s="1">
        <f t="shared" si="1"/>
        <v>0</v>
      </c>
    </row>
    <row r="227" spans="1:52" ht="15.75" customHeight="1" x14ac:dyDescent="0.3">
      <c r="A227" s="1" t="s">
        <v>830</v>
      </c>
      <c r="B227" s="2" t="s">
        <v>831</v>
      </c>
      <c r="C227" s="2">
        <v>260000059</v>
      </c>
      <c r="D227" s="1" t="s">
        <v>826</v>
      </c>
      <c r="E227" s="1" t="s">
        <v>827</v>
      </c>
      <c r="F227" s="1" t="s">
        <v>67</v>
      </c>
      <c r="G227" s="1" t="s">
        <v>68</v>
      </c>
      <c r="H227" s="1" t="s">
        <v>439</v>
      </c>
      <c r="I227" s="1" t="s">
        <v>10</v>
      </c>
      <c r="K227" s="1">
        <v>0</v>
      </c>
      <c r="L227" s="1" t="s">
        <v>731</v>
      </c>
      <c r="M227" s="1" t="s">
        <v>74</v>
      </c>
      <c r="N227" s="1" t="s">
        <v>74</v>
      </c>
      <c r="O227" s="1" t="s">
        <v>74</v>
      </c>
      <c r="P227" s="1" t="s">
        <v>10</v>
      </c>
      <c r="Q227" s="1" t="s">
        <v>90</v>
      </c>
      <c r="R227" s="1" t="s">
        <v>395</v>
      </c>
      <c r="U227" s="1">
        <v>5</v>
      </c>
      <c r="V227" s="1">
        <v>13</v>
      </c>
      <c r="W227" s="1">
        <v>12</v>
      </c>
      <c r="X227" s="1">
        <v>12</v>
      </c>
      <c r="Y227" s="1">
        <v>2</v>
      </c>
      <c r="AE227" s="1" t="s">
        <v>726</v>
      </c>
      <c r="AF227" s="12">
        <v>24</v>
      </c>
      <c r="AG227" s="12">
        <v>4</v>
      </c>
      <c r="AH227" s="12">
        <v>20</v>
      </c>
      <c r="AI227" s="12">
        <v>49.166666666666664</v>
      </c>
      <c r="AJ227" s="12">
        <v>59</v>
      </c>
      <c r="AK227" s="12">
        <v>38</v>
      </c>
      <c r="AL227" s="12">
        <v>5.4666313183728237</v>
      </c>
      <c r="AM227" s="14"/>
      <c r="AN227" s="14"/>
      <c r="AO227" s="3"/>
      <c r="AP227" s="14">
        <v>0</v>
      </c>
      <c r="AQ227" s="14">
        <v>24</v>
      </c>
      <c r="AR227" s="3">
        <f t="shared" si="28"/>
        <v>0</v>
      </c>
      <c r="AS227" s="1">
        <v>9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f t="shared" si="1"/>
        <v>9</v>
      </c>
    </row>
    <row r="228" spans="1:52" ht="15.75" customHeight="1" x14ac:dyDescent="0.3">
      <c r="A228" s="1" t="s">
        <v>832</v>
      </c>
      <c r="B228" s="2" t="s">
        <v>833</v>
      </c>
      <c r="C228" s="2">
        <v>160000801</v>
      </c>
      <c r="D228" s="1" t="s">
        <v>813</v>
      </c>
      <c r="E228" s="1" t="s">
        <v>808</v>
      </c>
      <c r="F228" s="1" t="s">
        <v>814</v>
      </c>
      <c r="G228" s="1" t="s">
        <v>86</v>
      </c>
      <c r="H228" s="1" t="s">
        <v>87</v>
      </c>
      <c r="I228" s="1" t="s">
        <v>10</v>
      </c>
      <c r="K228" s="1">
        <v>0</v>
      </c>
      <c r="L228" s="1" t="s">
        <v>815</v>
      </c>
      <c r="M228" s="1" t="s">
        <v>74</v>
      </c>
      <c r="N228" s="1" t="s">
        <v>74</v>
      </c>
      <c r="O228" s="1" t="s">
        <v>74</v>
      </c>
      <c r="P228" s="1" t="s">
        <v>10</v>
      </c>
      <c r="Q228" s="1" t="s">
        <v>80</v>
      </c>
      <c r="R228" s="1" t="s">
        <v>834</v>
      </c>
      <c r="T228" s="1">
        <v>34</v>
      </c>
      <c r="U228" s="1">
        <v>35</v>
      </c>
      <c r="W228" s="1">
        <v>38</v>
      </c>
      <c r="X228" s="1">
        <v>34</v>
      </c>
      <c r="Y228" s="1">
        <v>30</v>
      </c>
      <c r="Z228" s="1">
        <v>16</v>
      </c>
      <c r="AA228" s="1">
        <v>6</v>
      </c>
      <c r="AB228" s="1">
        <v>56</v>
      </c>
      <c r="AC228" s="1">
        <v>1</v>
      </c>
      <c r="AD228" s="1">
        <v>36</v>
      </c>
      <c r="AE228" s="1" t="s">
        <v>77</v>
      </c>
      <c r="AF228" s="12">
        <v>56</v>
      </c>
      <c r="AG228" s="12">
        <v>8</v>
      </c>
      <c r="AH228" s="12">
        <v>48</v>
      </c>
      <c r="AI228" s="13">
        <v>49.410714285714285</v>
      </c>
      <c r="AJ228" s="13">
        <v>66</v>
      </c>
      <c r="AK228" s="13">
        <v>33</v>
      </c>
      <c r="AL228" s="13">
        <v>7.538451217143141</v>
      </c>
      <c r="AM228" s="14"/>
      <c r="AN228" s="14"/>
      <c r="AO228" s="3"/>
      <c r="AP228" s="14">
        <v>1</v>
      </c>
      <c r="AQ228" s="14">
        <v>53</v>
      </c>
      <c r="AR228" s="3">
        <f t="shared" si="28"/>
        <v>1.8867924528301886E-2</v>
      </c>
      <c r="AS228" s="1">
        <v>0</v>
      </c>
      <c r="AT228" s="1">
        <v>20</v>
      </c>
      <c r="AU228" s="1">
        <v>0</v>
      </c>
      <c r="AV228" s="1">
        <v>0</v>
      </c>
      <c r="AW228" s="1">
        <v>0</v>
      </c>
      <c r="AX228" s="1">
        <v>19</v>
      </c>
      <c r="AY228" s="1">
        <v>0</v>
      </c>
      <c r="AZ228" s="1">
        <f t="shared" si="1"/>
        <v>39</v>
      </c>
    </row>
    <row r="229" spans="1:52" ht="15.75" customHeight="1" x14ac:dyDescent="0.3">
      <c r="A229" s="1" t="s">
        <v>835</v>
      </c>
      <c r="B229" s="2" t="s">
        <v>836</v>
      </c>
      <c r="C229" s="2">
        <v>260000059</v>
      </c>
      <c r="D229" s="1" t="s">
        <v>826</v>
      </c>
      <c r="E229" s="1" t="s">
        <v>827</v>
      </c>
      <c r="F229" s="1" t="s">
        <v>67</v>
      </c>
      <c r="G229" s="1" t="s">
        <v>68</v>
      </c>
      <c r="H229" s="1" t="s">
        <v>439</v>
      </c>
      <c r="I229" s="1" t="s">
        <v>10</v>
      </c>
      <c r="K229" s="1">
        <v>0</v>
      </c>
      <c r="L229" s="1" t="s">
        <v>731</v>
      </c>
      <c r="M229" s="1" t="s">
        <v>74</v>
      </c>
      <c r="N229" s="1" t="s">
        <v>74</v>
      </c>
      <c r="O229" s="1" t="s">
        <v>74</v>
      </c>
      <c r="P229" s="1" t="s">
        <v>10</v>
      </c>
      <c r="Q229" s="1" t="s">
        <v>80</v>
      </c>
      <c r="R229" s="1" t="s">
        <v>109</v>
      </c>
      <c r="U229" s="1">
        <v>10</v>
      </c>
      <c r="V229" s="1">
        <v>20</v>
      </c>
      <c r="W229" s="1">
        <v>19</v>
      </c>
      <c r="X229" s="1">
        <v>2</v>
      </c>
      <c r="Y229" s="1">
        <v>2</v>
      </c>
      <c r="AE229" s="1" t="s">
        <v>726</v>
      </c>
      <c r="AF229" s="12">
        <v>4</v>
      </c>
      <c r="AG229" s="12">
        <v>0</v>
      </c>
      <c r="AH229" s="12">
        <v>4</v>
      </c>
      <c r="AI229" s="12">
        <v>49.5</v>
      </c>
      <c r="AJ229" s="12">
        <v>52</v>
      </c>
      <c r="AK229" s="12">
        <v>47</v>
      </c>
      <c r="AL229" s="12">
        <v>2.8867513459481291</v>
      </c>
      <c r="AM229" s="14"/>
      <c r="AN229" s="14"/>
      <c r="AO229" s="3"/>
      <c r="AP229" s="14">
        <v>0</v>
      </c>
      <c r="AQ229" s="14">
        <v>4</v>
      </c>
      <c r="AR229" s="3">
        <f t="shared" si="28"/>
        <v>0</v>
      </c>
      <c r="AZ229" s="1">
        <f t="shared" si="1"/>
        <v>0</v>
      </c>
    </row>
    <row r="230" spans="1:52" ht="15.75" customHeight="1" x14ac:dyDescent="0.3">
      <c r="A230" s="1" t="s">
        <v>837</v>
      </c>
      <c r="B230" s="2" t="s">
        <v>838</v>
      </c>
      <c r="C230" s="2" t="s">
        <v>767</v>
      </c>
      <c r="D230" s="1" t="s">
        <v>768</v>
      </c>
      <c r="E230" s="1" t="s">
        <v>769</v>
      </c>
      <c r="F230" s="1" t="s">
        <v>67</v>
      </c>
      <c r="G230" s="1" t="s">
        <v>68</v>
      </c>
      <c r="H230" s="1" t="s">
        <v>69</v>
      </c>
      <c r="I230" s="1" t="s">
        <v>10</v>
      </c>
      <c r="K230" s="1">
        <v>0</v>
      </c>
      <c r="L230" s="1" t="s">
        <v>461</v>
      </c>
      <c r="M230" s="1" t="s">
        <v>462</v>
      </c>
      <c r="N230" s="1" t="s">
        <v>463</v>
      </c>
      <c r="O230" s="1" t="s">
        <v>150</v>
      </c>
      <c r="P230" s="1" t="s">
        <v>10</v>
      </c>
      <c r="Q230" s="1" t="s">
        <v>80</v>
      </c>
      <c r="R230" s="1" t="s">
        <v>839</v>
      </c>
      <c r="T230" s="1">
        <v>29</v>
      </c>
      <c r="U230" s="1">
        <v>18</v>
      </c>
      <c r="V230" s="1">
        <v>17</v>
      </c>
      <c r="AE230" s="1" t="s">
        <v>110</v>
      </c>
      <c r="AF230" s="12">
        <v>58</v>
      </c>
      <c r="AG230" s="12">
        <v>28</v>
      </c>
      <c r="AH230" s="12">
        <v>30</v>
      </c>
      <c r="AI230" s="12">
        <v>50.241379310344826</v>
      </c>
      <c r="AJ230" s="12">
        <v>64</v>
      </c>
      <c r="AK230" s="12">
        <v>31</v>
      </c>
      <c r="AL230" s="12">
        <v>8.5825411213237608</v>
      </c>
      <c r="AM230" s="14"/>
      <c r="AN230" s="14"/>
      <c r="AO230" s="3"/>
      <c r="AP230" s="14">
        <v>2</v>
      </c>
      <c r="AQ230" s="14">
        <v>56</v>
      </c>
      <c r="AR230" s="3">
        <f t="shared" si="28"/>
        <v>3.5714285714285712E-2</v>
      </c>
      <c r="AZ230" s="1">
        <f t="shared" si="1"/>
        <v>0</v>
      </c>
    </row>
    <row r="231" spans="1:52" ht="15.75" customHeight="1" x14ac:dyDescent="0.3">
      <c r="A231" s="1" t="s">
        <v>840</v>
      </c>
      <c r="B231" s="2" t="s">
        <v>841</v>
      </c>
      <c r="C231" s="2">
        <v>260000024</v>
      </c>
      <c r="D231" s="1" t="s">
        <v>780</v>
      </c>
      <c r="E231" s="1" t="s">
        <v>781</v>
      </c>
      <c r="F231" s="1" t="s">
        <v>67</v>
      </c>
      <c r="G231" s="1" t="s">
        <v>68</v>
      </c>
      <c r="H231" s="1" t="s">
        <v>69</v>
      </c>
      <c r="I231" s="1" t="s">
        <v>10</v>
      </c>
      <c r="K231" s="1">
        <v>0</v>
      </c>
      <c r="L231" s="1" t="s">
        <v>74</v>
      </c>
      <c r="M231" s="1" t="s">
        <v>74</v>
      </c>
      <c r="N231" s="1" t="s">
        <v>74</v>
      </c>
      <c r="O231" s="1" t="s">
        <v>74</v>
      </c>
      <c r="P231" s="1" t="s">
        <v>10</v>
      </c>
      <c r="Q231" s="1" t="s">
        <v>90</v>
      </c>
      <c r="R231" s="1" t="s">
        <v>516</v>
      </c>
      <c r="T231" s="1">
        <v>10</v>
      </c>
      <c r="U231" s="1">
        <v>9</v>
      </c>
      <c r="V231" s="1">
        <v>4</v>
      </c>
      <c r="X231" s="1">
        <v>1</v>
      </c>
      <c r="AE231" s="1" t="s">
        <v>726</v>
      </c>
      <c r="AF231" s="12">
        <v>2</v>
      </c>
      <c r="AG231" s="12">
        <v>0</v>
      </c>
      <c r="AH231" s="12">
        <v>2</v>
      </c>
      <c r="AI231" s="12">
        <v>51</v>
      </c>
      <c r="AJ231" s="12">
        <v>51</v>
      </c>
      <c r="AK231" s="12">
        <v>51</v>
      </c>
      <c r="AL231" s="12">
        <v>0</v>
      </c>
      <c r="AM231" s="14"/>
      <c r="AN231" s="14"/>
      <c r="AO231" s="3"/>
      <c r="AP231" s="14">
        <v>0</v>
      </c>
      <c r="AQ231" s="14">
        <v>2</v>
      </c>
      <c r="AR231" s="3">
        <f t="shared" si="28"/>
        <v>0</v>
      </c>
      <c r="AZ231" s="1">
        <f t="shared" si="1"/>
        <v>0</v>
      </c>
    </row>
    <row r="232" spans="1:52" ht="15.75" customHeight="1" x14ac:dyDescent="0.3">
      <c r="A232" s="1" t="s">
        <v>842</v>
      </c>
      <c r="B232" s="2" t="s">
        <v>843</v>
      </c>
      <c r="C232" s="2">
        <v>260000024</v>
      </c>
      <c r="D232" s="1" t="s">
        <v>780</v>
      </c>
      <c r="E232" s="1" t="s">
        <v>781</v>
      </c>
      <c r="F232" s="1" t="s">
        <v>67</v>
      </c>
      <c r="G232" s="1" t="s">
        <v>68</v>
      </c>
      <c r="H232" s="1" t="s">
        <v>69</v>
      </c>
      <c r="I232" s="1" t="s">
        <v>10</v>
      </c>
      <c r="K232" s="1">
        <v>0</v>
      </c>
      <c r="L232" s="1" t="s">
        <v>74</v>
      </c>
      <c r="M232" s="1" t="s">
        <v>74</v>
      </c>
      <c r="N232" s="1" t="s">
        <v>74</v>
      </c>
      <c r="O232" s="1" t="s">
        <v>74</v>
      </c>
      <c r="P232" s="1" t="s">
        <v>10</v>
      </c>
      <c r="Q232" s="1" t="s">
        <v>80</v>
      </c>
      <c r="R232" s="1" t="s">
        <v>300</v>
      </c>
      <c r="T232" s="1">
        <v>8</v>
      </c>
      <c r="U232" s="1">
        <v>8</v>
      </c>
      <c r="V232" s="1">
        <v>4</v>
      </c>
      <c r="AE232" s="1" t="s">
        <v>110</v>
      </c>
      <c r="AF232" s="12">
        <v>16</v>
      </c>
      <c r="AG232" s="12">
        <v>10</v>
      </c>
      <c r="AH232" s="12">
        <v>6</v>
      </c>
      <c r="AI232" s="12">
        <v>53.625</v>
      </c>
      <c r="AJ232" s="12">
        <v>65</v>
      </c>
      <c r="AK232" s="12">
        <v>45</v>
      </c>
      <c r="AL232" s="12">
        <v>6.6118580343702682</v>
      </c>
      <c r="AM232" s="14"/>
      <c r="AN232" s="14"/>
      <c r="AO232" s="3"/>
      <c r="AP232" s="14">
        <v>0</v>
      </c>
      <c r="AQ232" s="14">
        <v>16</v>
      </c>
      <c r="AR232" s="3">
        <f t="shared" si="28"/>
        <v>0</v>
      </c>
      <c r="AZ232" s="1">
        <f t="shared" si="1"/>
        <v>0</v>
      </c>
    </row>
    <row r="233" spans="1:52" ht="15.75" customHeight="1" x14ac:dyDescent="0.3">
      <c r="A233" s="1" t="s">
        <v>844</v>
      </c>
      <c r="B233" s="2" t="s">
        <v>845</v>
      </c>
      <c r="C233" s="2" t="s">
        <v>819</v>
      </c>
      <c r="D233" s="1" t="s">
        <v>820</v>
      </c>
      <c r="E233" s="1" t="s">
        <v>821</v>
      </c>
      <c r="F233" s="1" t="s">
        <v>67</v>
      </c>
      <c r="G233" s="1" t="s">
        <v>68</v>
      </c>
      <c r="H233" s="1" t="s">
        <v>69</v>
      </c>
      <c r="I233" s="1" t="s">
        <v>10</v>
      </c>
      <c r="K233" s="1">
        <v>0</v>
      </c>
      <c r="L233" s="1" t="s">
        <v>822</v>
      </c>
      <c r="M233" s="1" t="s">
        <v>823</v>
      </c>
      <c r="N233" s="1" t="s">
        <v>822</v>
      </c>
      <c r="O233" s="1" t="s">
        <v>150</v>
      </c>
      <c r="P233" s="1" t="s">
        <v>10</v>
      </c>
      <c r="Q233" s="1" t="s">
        <v>80</v>
      </c>
      <c r="R233" s="1" t="s">
        <v>109</v>
      </c>
      <c r="T233" s="1">
        <v>9</v>
      </c>
      <c r="U233" s="1">
        <v>9</v>
      </c>
      <c r="V233" s="1">
        <v>9</v>
      </c>
      <c r="W233" s="1">
        <v>9</v>
      </c>
      <c r="Y233" s="1">
        <v>1</v>
      </c>
      <c r="AE233" s="1" t="s">
        <v>846</v>
      </c>
      <c r="AF233" s="12">
        <v>2</v>
      </c>
      <c r="AG233" s="12"/>
      <c r="AH233" s="12">
        <v>2</v>
      </c>
      <c r="AI233" s="1">
        <v>54</v>
      </c>
      <c r="AJ233" s="1">
        <v>54</v>
      </c>
      <c r="AK233" s="1">
        <v>54</v>
      </c>
      <c r="AL233" s="1">
        <v>0</v>
      </c>
      <c r="AM233" s="14"/>
      <c r="AN233" s="14"/>
      <c r="AO233" s="3"/>
      <c r="AP233" s="14">
        <v>0</v>
      </c>
      <c r="AQ233" s="14">
        <v>2</v>
      </c>
      <c r="AR233" s="3">
        <f t="shared" si="28"/>
        <v>0</v>
      </c>
      <c r="AS233" s="1">
        <v>0</v>
      </c>
      <c r="AT233" s="1">
        <v>1</v>
      </c>
      <c r="AU233" s="1">
        <v>0</v>
      </c>
      <c r="AV233" s="1">
        <v>1</v>
      </c>
      <c r="AW233" s="1">
        <v>0</v>
      </c>
      <c r="AX233" s="1">
        <v>0</v>
      </c>
      <c r="AY233" s="1">
        <v>0</v>
      </c>
      <c r="AZ233" s="1">
        <f t="shared" si="1"/>
        <v>2</v>
      </c>
    </row>
    <row r="234" spans="1:52" ht="15.75" customHeight="1" x14ac:dyDescent="0.3">
      <c r="A234" s="1" t="s">
        <v>847</v>
      </c>
      <c r="B234" s="2" t="s">
        <v>848</v>
      </c>
      <c r="C234" s="2">
        <v>260000059</v>
      </c>
      <c r="D234" s="1" t="s">
        <v>826</v>
      </c>
      <c r="E234" s="1" t="s">
        <v>827</v>
      </c>
      <c r="F234" s="1" t="s">
        <v>67</v>
      </c>
      <c r="G234" s="1" t="s">
        <v>68</v>
      </c>
      <c r="H234" s="1" t="s">
        <v>439</v>
      </c>
      <c r="I234" s="1" t="s">
        <v>10</v>
      </c>
      <c r="K234" s="1">
        <v>0</v>
      </c>
      <c r="L234" s="1" t="s">
        <v>731</v>
      </c>
      <c r="M234" s="1" t="s">
        <v>74</v>
      </c>
      <c r="N234" s="1" t="s">
        <v>74</v>
      </c>
      <c r="O234" s="1" t="s">
        <v>74</v>
      </c>
      <c r="P234" s="1" t="s">
        <v>10</v>
      </c>
      <c r="Q234" s="1" t="s">
        <v>80</v>
      </c>
      <c r="R234" s="1" t="s">
        <v>192</v>
      </c>
      <c r="U234" s="1">
        <v>7</v>
      </c>
      <c r="V234" s="1">
        <v>20</v>
      </c>
      <c r="W234" s="1">
        <v>1</v>
      </c>
      <c r="AE234" s="1" t="s">
        <v>513</v>
      </c>
      <c r="AF234" s="12">
        <v>2</v>
      </c>
      <c r="AG234" s="12">
        <v>0</v>
      </c>
      <c r="AH234" s="12">
        <v>2</v>
      </c>
      <c r="AI234" s="12">
        <v>55</v>
      </c>
      <c r="AJ234" s="12">
        <v>55</v>
      </c>
      <c r="AK234" s="12">
        <v>55</v>
      </c>
      <c r="AL234" s="12">
        <v>0</v>
      </c>
      <c r="AM234" s="14"/>
      <c r="AN234" s="14"/>
      <c r="AO234" s="3"/>
      <c r="AP234" s="14">
        <v>0</v>
      </c>
      <c r="AQ234" s="14">
        <v>2</v>
      </c>
      <c r="AR234" s="3">
        <f t="shared" si="28"/>
        <v>0</v>
      </c>
      <c r="AZ234" s="1">
        <f t="shared" si="1"/>
        <v>0</v>
      </c>
    </row>
    <row r="235" spans="1:52" ht="15.75" customHeight="1" x14ac:dyDescent="0.3">
      <c r="A235" s="1" t="s">
        <v>849</v>
      </c>
      <c r="B235" s="2" t="s">
        <v>850</v>
      </c>
      <c r="C235" s="2">
        <v>260000078</v>
      </c>
      <c r="D235" s="1" t="s">
        <v>851</v>
      </c>
      <c r="E235" s="1" t="s">
        <v>852</v>
      </c>
      <c r="F235" s="1" t="s">
        <v>67</v>
      </c>
      <c r="G235" s="1" t="s">
        <v>68</v>
      </c>
      <c r="H235" s="1" t="s">
        <v>439</v>
      </c>
      <c r="I235" s="1" t="s">
        <v>10</v>
      </c>
      <c r="K235" s="1">
        <v>0</v>
      </c>
      <c r="L235" s="1" t="s">
        <v>74</v>
      </c>
      <c r="M235" s="1" t="s">
        <v>74</v>
      </c>
      <c r="N235" s="1" t="s">
        <v>74</v>
      </c>
      <c r="O235" s="1" t="s">
        <v>74</v>
      </c>
      <c r="P235" s="1" t="s">
        <v>10</v>
      </c>
      <c r="Q235" s="1" t="s">
        <v>80</v>
      </c>
      <c r="R235" s="1" t="s">
        <v>192</v>
      </c>
      <c r="T235" s="1">
        <v>18</v>
      </c>
      <c r="U235" s="1">
        <v>18</v>
      </c>
      <c r="V235" s="1">
        <v>16</v>
      </c>
      <c r="W235" s="1">
        <v>15</v>
      </c>
      <c r="AE235" s="1" t="s">
        <v>110</v>
      </c>
      <c r="AF235" s="12">
        <v>36</v>
      </c>
      <c r="AG235" s="12">
        <v>12</v>
      </c>
      <c r="AH235" s="12">
        <v>24</v>
      </c>
      <c r="AI235" s="12">
        <v>55.2</v>
      </c>
      <c r="AJ235" s="12">
        <v>67</v>
      </c>
      <c r="AK235" s="12">
        <v>41</v>
      </c>
      <c r="AL235" s="12">
        <v>7.3174331282360896</v>
      </c>
      <c r="AM235" s="14"/>
      <c r="AN235" s="14"/>
      <c r="AO235" s="3"/>
      <c r="AP235" s="14">
        <v>0</v>
      </c>
      <c r="AQ235" s="14">
        <v>36</v>
      </c>
      <c r="AR235" s="3">
        <f t="shared" si="28"/>
        <v>0</v>
      </c>
      <c r="AZ235" s="1">
        <f t="shared" si="1"/>
        <v>0</v>
      </c>
    </row>
    <row r="236" spans="1:52" ht="15.75" customHeight="1" x14ac:dyDescent="0.3">
      <c r="A236" s="1" t="s">
        <v>853</v>
      </c>
      <c r="B236" s="2" t="s">
        <v>854</v>
      </c>
      <c r="C236" s="2">
        <v>260000024</v>
      </c>
      <c r="D236" s="1" t="s">
        <v>780</v>
      </c>
      <c r="E236" s="1" t="s">
        <v>781</v>
      </c>
      <c r="F236" s="1" t="s">
        <v>67</v>
      </c>
      <c r="G236" s="1" t="s">
        <v>68</v>
      </c>
      <c r="H236" s="1" t="s">
        <v>69</v>
      </c>
      <c r="I236" s="1" t="s">
        <v>10</v>
      </c>
      <c r="K236" s="1">
        <v>0</v>
      </c>
      <c r="L236" s="1" t="s">
        <v>74</v>
      </c>
      <c r="M236" s="1" t="s">
        <v>74</v>
      </c>
      <c r="N236" s="1" t="s">
        <v>74</v>
      </c>
      <c r="O236" s="1" t="s">
        <v>74</v>
      </c>
      <c r="P236" s="1" t="s">
        <v>10</v>
      </c>
      <c r="Q236" s="1" t="s">
        <v>80</v>
      </c>
      <c r="R236" s="1" t="s">
        <v>228</v>
      </c>
      <c r="T236" s="1">
        <v>13</v>
      </c>
      <c r="U236" s="1">
        <v>11</v>
      </c>
      <c r="V236" s="1">
        <v>10</v>
      </c>
      <c r="AB236" s="1">
        <v>1</v>
      </c>
      <c r="AC236" s="1">
        <v>2</v>
      </c>
      <c r="AE236" s="1" t="s">
        <v>77</v>
      </c>
      <c r="AF236" s="12">
        <v>1</v>
      </c>
      <c r="AG236" s="12">
        <v>0</v>
      </c>
      <c r="AH236" s="12">
        <v>1</v>
      </c>
      <c r="AI236" s="13">
        <v>69</v>
      </c>
      <c r="AJ236" s="13">
        <v>69</v>
      </c>
      <c r="AK236" s="13">
        <v>69</v>
      </c>
      <c r="AL236" s="13">
        <v>0</v>
      </c>
      <c r="AM236" s="14"/>
      <c r="AN236" s="14"/>
      <c r="AO236" s="3"/>
      <c r="AP236" s="14">
        <v>0</v>
      </c>
      <c r="AQ236" s="14">
        <v>1</v>
      </c>
      <c r="AR236" s="3">
        <f t="shared" si="28"/>
        <v>0</v>
      </c>
      <c r="AZ236" s="1">
        <f t="shared" si="1"/>
        <v>0</v>
      </c>
    </row>
    <row r="237" spans="1:52" ht="15.75" customHeight="1" x14ac:dyDescent="0.3">
      <c r="A237" s="1" t="s">
        <v>855</v>
      </c>
      <c r="B237" s="2" t="s">
        <v>856</v>
      </c>
      <c r="C237" s="2">
        <v>160000012</v>
      </c>
      <c r="D237" s="1" t="s">
        <v>857</v>
      </c>
      <c r="E237" s="1" t="s">
        <v>858</v>
      </c>
      <c r="F237" s="1" t="s">
        <v>67</v>
      </c>
      <c r="G237" s="1" t="s">
        <v>86</v>
      </c>
      <c r="H237" s="1" t="s">
        <v>87</v>
      </c>
      <c r="I237" s="1" t="s">
        <v>70</v>
      </c>
      <c r="J237" s="1" t="s">
        <v>440</v>
      </c>
      <c r="K237" s="1">
        <v>6</v>
      </c>
      <c r="L237" s="1" t="s">
        <v>776</v>
      </c>
      <c r="M237" s="1" t="s">
        <v>859</v>
      </c>
      <c r="N237" s="1" t="s">
        <v>776</v>
      </c>
      <c r="O237" s="1" t="s">
        <v>108</v>
      </c>
      <c r="P237" s="1" t="s">
        <v>11</v>
      </c>
      <c r="Q237" s="1" t="s">
        <v>80</v>
      </c>
      <c r="R237" s="1" t="s">
        <v>192</v>
      </c>
      <c r="S237" s="2"/>
      <c r="U237" s="1">
        <v>39</v>
      </c>
      <c r="V237" s="1">
        <v>53</v>
      </c>
      <c r="AC237" s="1">
        <v>22</v>
      </c>
      <c r="AE237" s="1" t="s">
        <v>93</v>
      </c>
      <c r="AF237" s="15">
        <v>44</v>
      </c>
      <c r="AG237" s="15">
        <v>18</v>
      </c>
      <c r="AH237" s="15">
        <v>26</v>
      </c>
      <c r="AI237" s="13">
        <v>32.68181818181818</v>
      </c>
      <c r="AJ237" s="13">
        <v>47</v>
      </c>
      <c r="AK237" s="13">
        <v>47</v>
      </c>
      <c r="AL237" s="13">
        <v>25</v>
      </c>
      <c r="AM237" s="14">
        <v>24</v>
      </c>
      <c r="AN237" s="14">
        <v>23</v>
      </c>
      <c r="AO237" s="3">
        <f t="shared" ref="AO237:AO253" si="30">AN237/AM237</f>
        <v>0.95833333333333337</v>
      </c>
      <c r="AP237" s="14">
        <v>0</v>
      </c>
      <c r="AQ237" s="14">
        <v>44</v>
      </c>
      <c r="AR237" s="3">
        <f t="shared" si="28"/>
        <v>0</v>
      </c>
      <c r="AZ237" s="1">
        <f t="shared" si="1"/>
        <v>0</v>
      </c>
    </row>
    <row r="238" spans="1:52" ht="15.75" customHeight="1" x14ac:dyDescent="0.3">
      <c r="A238" s="1" t="s">
        <v>860</v>
      </c>
      <c r="B238" s="2" t="s">
        <v>861</v>
      </c>
      <c r="C238" s="2">
        <v>160000076</v>
      </c>
      <c r="D238" s="1" t="s">
        <v>862</v>
      </c>
      <c r="E238" s="1" t="s">
        <v>863</v>
      </c>
      <c r="F238" s="1" t="s">
        <v>67</v>
      </c>
      <c r="G238" s="1" t="s">
        <v>86</v>
      </c>
      <c r="H238" s="1" t="s">
        <v>87</v>
      </c>
      <c r="I238" s="1" t="s">
        <v>70</v>
      </c>
      <c r="J238" s="1" t="s">
        <v>98</v>
      </c>
      <c r="K238" s="1">
        <v>6</v>
      </c>
      <c r="L238" s="1" t="s">
        <v>864</v>
      </c>
      <c r="M238" s="1" t="s">
        <v>865</v>
      </c>
      <c r="N238" s="1" t="s">
        <v>866</v>
      </c>
      <c r="O238" s="1" t="s">
        <v>413</v>
      </c>
      <c r="P238" s="1" t="s">
        <v>11</v>
      </c>
      <c r="Q238" s="1" t="s">
        <v>75</v>
      </c>
      <c r="R238" s="1" t="s">
        <v>867</v>
      </c>
      <c r="S238" s="2"/>
      <c r="AB238" s="1">
        <v>4</v>
      </c>
      <c r="AC238" s="1">
        <v>3</v>
      </c>
      <c r="AE238" s="1" t="s">
        <v>77</v>
      </c>
      <c r="AF238" s="12">
        <v>4</v>
      </c>
      <c r="AG238" s="12">
        <v>1</v>
      </c>
      <c r="AH238" s="12">
        <v>3</v>
      </c>
      <c r="AI238" s="13">
        <v>34.25</v>
      </c>
      <c r="AJ238" s="13">
        <v>43</v>
      </c>
      <c r="AK238" s="13">
        <v>31</v>
      </c>
      <c r="AL238" s="13">
        <v>5.8523499553598128</v>
      </c>
      <c r="AM238" s="14">
        <v>1</v>
      </c>
      <c r="AN238" s="14">
        <v>1</v>
      </c>
      <c r="AO238" s="3">
        <f t="shared" si="30"/>
        <v>1</v>
      </c>
      <c r="AP238" s="14">
        <v>0</v>
      </c>
      <c r="AQ238" s="14">
        <v>4</v>
      </c>
      <c r="AR238" s="3">
        <f t="shared" si="28"/>
        <v>0</v>
      </c>
      <c r="AZ238" s="1">
        <f t="shared" si="1"/>
        <v>0</v>
      </c>
    </row>
    <row r="239" spans="1:52" ht="15.75" customHeight="1" x14ac:dyDescent="0.3">
      <c r="A239" s="1" t="s">
        <v>868</v>
      </c>
      <c r="B239" s="2" t="s">
        <v>869</v>
      </c>
      <c r="C239" s="2">
        <v>160000012</v>
      </c>
      <c r="D239" s="1" t="s">
        <v>857</v>
      </c>
      <c r="E239" s="1" t="s">
        <v>858</v>
      </c>
      <c r="F239" s="1" t="s">
        <v>67</v>
      </c>
      <c r="G239" s="1" t="s">
        <v>86</v>
      </c>
      <c r="H239" s="1" t="s">
        <v>87</v>
      </c>
      <c r="I239" s="1" t="s">
        <v>70</v>
      </c>
      <c r="J239" s="1" t="s">
        <v>440</v>
      </c>
      <c r="K239" s="1">
        <v>6</v>
      </c>
      <c r="L239" s="1" t="s">
        <v>776</v>
      </c>
      <c r="M239" s="1" t="s">
        <v>859</v>
      </c>
      <c r="N239" s="1" t="s">
        <v>776</v>
      </c>
      <c r="O239" s="1" t="s">
        <v>108</v>
      </c>
      <c r="P239" s="1" t="s">
        <v>11</v>
      </c>
      <c r="Q239" s="1" t="s">
        <v>80</v>
      </c>
      <c r="R239" s="1" t="s">
        <v>109</v>
      </c>
      <c r="S239" s="2"/>
      <c r="U239" s="1">
        <v>66</v>
      </c>
      <c r="V239" s="1">
        <v>88</v>
      </c>
      <c r="AC239" s="1">
        <v>33</v>
      </c>
      <c r="AE239" s="1" t="s">
        <v>93</v>
      </c>
      <c r="AF239" s="15">
        <v>66</v>
      </c>
      <c r="AG239" s="15">
        <v>20</v>
      </c>
      <c r="AH239" s="15">
        <v>46</v>
      </c>
      <c r="AI239" s="13">
        <v>36.151515151515149</v>
      </c>
      <c r="AJ239" s="13">
        <v>58</v>
      </c>
      <c r="AK239" s="13">
        <v>58</v>
      </c>
      <c r="AL239" s="13">
        <v>26</v>
      </c>
      <c r="AM239" s="14">
        <v>46</v>
      </c>
      <c r="AN239" s="14">
        <v>41</v>
      </c>
      <c r="AO239" s="3">
        <f t="shared" si="30"/>
        <v>0.89130434782608692</v>
      </c>
      <c r="AP239" s="14">
        <v>0</v>
      </c>
      <c r="AQ239" s="14">
        <v>66</v>
      </c>
      <c r="AR239" s="3">
        <f t="shared" si="28"/>
        <v>0</v>
      </c>
      <c r="AZ239" s="1">
        <f t="shared" si="1"/>
        <v>0</v>
      </c>
    </row>
    <row r="240" spans="1:52" ht="15.75" customHeight="1" x14ac:dyDescent="0.3">
      <c r="A240" s="1" t="s">
        <v>870</v>
      </c>
      <c r="B240" s="2" t="s">
        <v>871</v>
      </c>
      <c r="C240" s="2">
        <v>160000012</v>
      </c>
      <c r="D240" s="1" t="s">
        <v>857</v>
      </c>
      <c r="E240" s="1" t="s">
        <v>858</v>
      </c>
      <c r="F240" s="1" t="s">
        <v>67</v>
      </c>
      <c r="G240" s="1" t="s">
        <v>86</v>
      </c>
      <c r="H240" s="1" t="s">
        <v>87</v>
      </c>
      <c r="I240" s="1" t="s">
        <v>70</v>
      </c>
      <c r="J240" s="1" t="s">
        <v>440</v>
      </c>
      <c r="K240" s="1">
        <v>6</v>
      </c>
      <c r="L240" s="1" t="s">
        <v>776</v>
      </c>
      <c r="M240" s="1" t="s">
        <v>859</v>
      </c>
      <c r="N240" s="1" t="s">
        <v>776</v>
      </c>
      <c r="O240" s="1" t="s">
        <v>108</v>
      </c>
      <c r="P240" s="1" t="s">
        <v>11</v>
      </c>
      <c r="Q240" s="1" t="s">
        <v>75</v>
      </c>
      <c r="R240" s="1" t="s">
        <v>477</v>
      </c>
      <c r="S240" s="2"/>
      <c r="U240" s="1">
        <v>57</v>
      </c>
      <c r="V240" s="1">
        <v>70</v>
      </c>
      <c r="AC240" s="1">
        <v>33</v>
      </c>
      <c r="AE240" s="1" t="s">
        <v>93</v>
      </c>
      <c r="AF240" s="15">
        <v>66</v>
      </c>
      <c r="AG240" s="15">
        <v>42</v>
      </c>
      <c r="AH240" s="15">
        <v>24</v>
      </c>
      <c r="AI240" s="13">
        <v>36.696969696969695</v>
      </c>
      <c r="AJ240" s="13">
        <v>69</v>
      </c>
      <c r="AK240" s="13">
        <v>69</v>
      </c>
      <c r="AL240" s="13">
        <v>25</v>
      </c>
      <c r="AM240" s="14">
        <v>35</v>
      </c>
      <c r="AN240" s="14">
        <v>35</v>
      </c>
      <c r="AO240" s="3">
        <f t="shared" si="30"/>
        <v>1</v>
      </c>
      <c r="AP240" s="14">
        <v>0</v>
      </c>
      <c r="AQ240" s="14">
        <v>66</v>
      </c>
      <c r="AR240" s="3">
        <f t="shared" si="28"/>
        <v>0</v>
      </c>
      <c r="AZ240" s="1">
        <f t="shared" si="1"/>
        <v>0</v>
      </c>
    </row>
    <row r="241" spans="1:52" ht="15.75" customHeight="1" x14ac:dyDescent="0.3">
      <c r="A241" s="1" t="s">
        <v>872</v>
      </c>
      <c r="B241" s="2" t="s">
        <v>873</v>
      </c>
      <c r="C241" s="2">
        <v>160000012</v>
      </c>
      <c r="D241" s="1" t="s">
        <v>857</v>
      </c>
      <c r="E241" s="1" t="s">
        <v>858</v>
      </c>
      <c r="F241" s="1" t="s">
        <v>67</v>
      </c>
      <c r="G241" s="1" t="s">
        <v>86</v>
      </c>
      <c r="H241" s="1" t="s">
        <v>87</v>
      </c>
      <c r="I241" s="1" t="s">
        <v>70</v>
      </c>
      <c r="J241" s="1" t="s">
        <v>440</v>
      </c>
      <c r="K241" s="1">
        <v>6</v>
      </c>
      <c r="L241" s="1" t="s">
        <v>776</v>
      </c>
      <c r="M241" s="1" t="s">
        <v>859</v>
      </c>
      <c r="N241" s="1" t="s">
        <v>776</v>
      </c>
      <c r="O241" s="1" t="s">
        <v>108</v>
      </c>
      <c r="P241" s="1" t="s">
        <v>11</v>
      </c>
      <c r="Q241" s="1" t="s">
        <v>80</v>
      </c>
      <c r="R241" s="1" t="s">
        <v>874</v>
      </c>
      <c r="S241" s="2"/>
      <c r="U241" s="1">
        <v>51</v>
      </c>
      <c r="V241" s="1">
        <v>54</v>
      </c>
      <c r="AC241" s="1">
        <v>23</v>
      </c>
      <c r="AE241" s="1" t="s">
        <v>93</v>
      </c>
      <c r="AF241" s="15">
        <v>46</v>
      </c>
      <c r="AG241" s="15">
        <v>12</v>
      </c>
      <c r="AH241" s="15">
        <v>34</v>
      </c>
      <c r="AI241" s="13">
        <v>37.521739130434781</v>
      </c>
      <c r="AJ241" s="13">
        <v>58</v>
      </c>
      <c r="AK241" s="13">
        <v>58</v>
      </c>
      <c r="AL241" s="13">
        <v>24</v>
      </c>
      <c r="AM241" s="14">
        <v>24</v>
      </c>
      <c r="AN241" s="14">
        <v>23</v>
      </c>
      <c r="AO241" s="3">
        <f t="shared" si="30"/>
        <v>0.95833333333333337</v>
      </c>
      <c r="AP241" s="14">
        <v>0</v>
      </c>
      <c r="AQ241" s="14">
        <v>46</v>
      </c>
      <c r="AR241" s="3">
        <f t="shared" si="28"/>
        <v>0</v>
      </c>
      <c r="AZ241" s="1">
        <f t="shared" si="1"/>
        <v>0</v>
      </c>
    </row>
    <row r="242" spans="1:52" ht="15.75" customHeight="1" x14ac:dyDescent="0.3">
      <c r="A242" s="1" t="s">
        <v>875</v>
      </c>
      <c r="B242" s="2" t="s">
        <v>876</v>
      </c>
      <c r="C242" s="2">
        <v>160000012</v>
      </c>
      <c r="D242" s="1" t="s">
        <v>857</v>
      </c>
      <c r="E242" s="1" t="s">
        <v>858</v>
      </c>
      <c r="F242" s="1" t="s">
        <v>67</v>
      </c>
      <c r="G242" s="1" t="s">
        <v>86</v>
      </c>
      <c r="H242" s="1" t="s">
        <v>87</v>
      </c>
      <c r="I242" s="1" t="s">
        <v>70</v>
      </c>
      <c r="J242" s="1" t="s">
        <v>440</v>
      </c>
      <c r="K242" s="1">
        <v>6</v>
      </c>
      <c r="L242" s="1" t="s">
        <v>776</v>
      </c>
      <c r="M242" s="1" t="s">
        <v>859</v>
      </c>
      <c r="N242" s="1" t="s">
        <v>776</v>
      </c>
      <c r="O242" s="1" t="s">
        <v>108</v>
      </c>
      <c r="P242" s="1" t="s">
        <v>11</v>
      </c>
      <c r="Q242" s="1" t="s">
        <v>80</v>
      </c>
      <c r="R242" s="1" t="s">
        <v>786</v>
      </c>
      <c r="S242" s="2"/>
      <c r="U242" s="1">
        <v>54</v>
      </c>
      <c r="V242" s="1">
        <v>63</v>
      </c>
      <c r="AC242" s="1">
        <v>30</v>
      </c>
      <c r="AE242" s="1" t="s">
        <v>93</v>
      </c>
      <c r="AF242" s="15">
        <v>60</v>
      </c>
      <c r="AG242" s="15">
        <v>28</v>
      </c>
      <c r="AH242" s="15">
        <v>32</v>
      </c>
      <c r="AI242" s="13">
        <v>37.758620689655174</v>
      </c>
      <c r="AJ242" s="13">
        <v>57</v>
      </c>
      <c r="AK242" s="13">
        <v>57</v>
      </c>
      <c r="AL242" s="13">
        <v>29</v>
      </c>
      <c r="AM242" s="14">
        <v>33</v>
      </c>
      <c r="AN242" s="14">
        <v>33</v>
      </c>
      <c r="AO242" s="3">
        <f t="shared" si="30"/>
        <v>1</v>
      </c>
      <c r="AP242" s="14">
        <v>0</v>
      </c>
      <c r="AQ242" s="14">
        <v>60</v>
      </c>
      <c r="AR242" s="3">
        <f t="shared" si="28"/>
        <v>0</v>
      </c>
      <c r="AZ242" s="1">
        <f t="shared" si="1"/>
        <v>0</v>
      </c>
    </row>
    <row r="243" spans="1:52" ht="15.75" customHeight="1" x14ac:dyDescent="0.3">
      <c r="A243" s="1" t="s">
        <v>877</v>
      </c>
      <c r="B243" s="2" t="s">
        <v>878</v>
      </c>
      <c r="C243" s="2">
        <v>160000012</v>
      </c>
      <c r="D243" s="1" t="s">
        <v>857</v>
      </c>
      <c r="E243" s="1" t="s">
        <v>858</v>
      </c>
      <c r="F243" s="1" t="s">
        <v>67</v>
      </c>
      <c r="G243" s="1" t="s">
        <v>86</v>
      </c>
      <c r="H243" s="1" t="s">
        <v>87</v>
      </c>
      <c r="I243" s="1" t="s">
        <v>70</v>
      </c>
      <c r="J243" s="1" t="s">
        <v>440</v>
      </c>
      <c r="K243" s="1">
        <v>6</v>
      </c>
      <c r="L243" s="1" t="s">
        <v>776</v>
      </c>
      <c r="M243" s="1" t="s">
        <v>859</v>
      </c>
      <c r="N243" s="1" t="s">
        <v>776</v>
      </c>
      <c r="O243" s="1" t="s">
        <v>108</v>
      </c>
      <c r="P243" s="1" t="s">
        <v>11</v>
      </c>
      <c r="Q243" s="1" t="s">
        <v>90</v>
      </c>
      <c r="R243" s="1" t="s">
        <v>879</v>
      </c>
      <c r="S243" s="2"/>
      <c r="U243" s="1">
        <v>46</v>
      </c>
      <c r="V243" s="1">
        <v>38</v>
      </c>
      <c r="AC243" s="1">
        <v>17</v>
      </c>
      <c r="AE243" s="1" t="s">
        <v>93</v>
      </c>
      <c r="AF243" s="15">
        <v>34</v>
      </c>
      <c r="AG243" s="15">
        <v>12</v>
      </c>
      <c r="AH243" s="15">
        <v>22</v>
      </c>
      <c r="AI243" s="13">
        <v>37.764705882352942</v>
      </c>
      <c r="AJ243" s="13">
        <v>51</v>
      </c>
      <c r="AK243" s="13">
        <v>51</v>
      </c>
      <c r="AL243" s="13">
        <v>26</v>
      </c>
      <c r="AM243" s="14">
        <v>19</v>
      </c>
      <c r="AN243" s="14">
        <v>19</v>
      </c>
      <c r="AO243" s="3">
        <f t="shared" si="30"/>
        <v>1</v>
      </c>
      <c r="AP243" s="14">
        <v>0</v>
      </c>
      <c r="AQ243" s="14">
        <v>34</v>
      </c>
      <c r="AR243" s="3">
        <f t="shared" si="28"/>
        <v>0</v>
      </c>
      <c r="AZ243" s="1">
        <f t="shared" si="1"/>
        <v>0</v>
      </c>
    </row>
    <row r="244" spans="1:52" ht="15.75" customHeight="1" x14ac:dyDescent="0.3">
      <c r="A244" s="1" t="s">
        <v>880</v>
      </c>
      <c r="B244" s="2" t="s">
        <v>881</v>
      </c>
      <c r="C244" s="2">
        <v>160000012</v>
      </c>
      <c r="D244" s="1" t="s">
        <v>857</v>
      </c>
      <c r="E244" s="1" t="s">
        <v>858</v>
      </c>
      <c r="F244" s="1" t="s">
        <v>67</v>
      </c>
      <c r="G244" s="1" t="s">
        <v>86</v>
      </c>
      <c r="H244" s="1" t="s">
        <v>87</v>
      </c>
      <c r="I244" s="1" t="s">
        <v>70</v>
      </c>
      <c r="J244" s="1" t="s">
        <v>440</v>
      </c>
      <c r="K244" s="1">
        <v>6</v>
      </c>
      <c r="L244" s="1" t="s">
        <v>776</v>
      </c>
      <c r="M244" s="1" t="s">
        <v>859</v>
      </c>
      <c r="N244" s="1" t="s">
        <v>776</v>
      </c>
      <c r="O244" s="1" t="s">
        <v>108</v>
      </c>
      <c r="P244" s="1" t="s">
        <v>11</v>
      </c>
      <c r="Q244" s="1" t="s">
        <v>80</v>
      </c>
      <c r="R244" s="1" t="s">
        <v>882</v>
      </c>
      <c r="S244" s="2"/>
      <c r="U244" s="1">
        <v>67</v>
      </c>
      <c r="V244" s="1">
        <v>82</v>
      </c>
      <c r="AC244" s="1">
        <v>40</v>
      </c>
      <c r="AE244" s="1" t="s">
        <v>93</v>
      </c>
      <c r="AF244" s="12">
        <v>80</v>
      </c>
      <c r="AG244" s="12">
        <v>42</v>
      </c>
      <c r="AH244" s="12">
        <v>38</v>
      </c>
      <c r="AI244" s="13">
        <v>38.512820512820511</v>
      </c>
      <c r="AJ244" s="13">
        <v>60</v>
      </c>
      <c r="AK244" s="13">
        <v>60</v>
      </c>
      <c r="AL244" s="13">
        <v>26</v>
      </c>
      <c r="AM244" s="14">
        <v>47</v>
      </c>
      <c r="AN244" s="14">
        <v>47</v>
      </c>
      <c r="AO244" s="3">
        <f t="shared" si="30"/>
        <v>1</v>
      </c>
      <c r="AP244" s="14">
        <v>0</v>
      </c>
      <c r="AQ244" s="14">
        <v>78</v>
      </c>
      <c r="AR244" s="3">
        <f t="shared" si="28"/>
        <v>0</v>
      </c>
      <c r="AZ244" s="1">
        <f t="shared" si="1"/>
        <v>0</v>
      </c>
    </row>
    <row r="245" spans="1:52" ht="15.75" customHeight="1" x14ac:dyDescent="0.3">
      <c r="A245" s="1" t="s">
        <v>883</v>
      </c>
      <c r="B245" s="2" t="s">
        <v>884</v>
      </c>
      <c r="C245" s="2">
        <v>160000076</v>
      </c>
      <c r="D245" s="1" t="s">
        <v>862</v>
      </c>
      <c r="E245" s="1" t="s">
        <v>863</v>
      </c>
      <c r="F245" s="1" t="s">
        <v>67</v>
      </c>
      <c r="G245" s="1" t="s">
        <v>86</v>
      </c>
      <c r="H245" s="1" t="s">
        <v>87</v>
      </c>
      <c r="I245" s="1" t="s">
        <v>70</v>
      </c>
      <c r="J245" s="1" t="s">
        <v>98</v>
      </c>
      <c r="K245" s="1">
        <v>6</v>
      </c>
      <c r="L245" s="1" t="s">
        <v>864</v>
      </c>
      <c r="M245" s="1" t="s">
        <v>865</v>
      </c>
      <c r="N245" s="1" t="s">
        <v>866</v>
      </c>
      <c r="O245" s="1" t="s">
        <v>413</v>
      </c>
      <c r="P245" s="1" t="s">
        <v>11</v>
      </c>
      <c r="Q245" s="1" t="s">
        <v>195</v>
      </c>
      <c r="R245" s="1" t="s">
        <v>885</v>
      </c>
      <c r="S245" s="2" t="s">
        <v>886</v>
      </c>
      <c r="T245" s="1">
        <v>42</v>
      </c>
      <c r="U245" s="1">
        <v>39</v>
      </c>
      <c r="V245" s="1">
        <v>43</v>
      </c>
      <c r="AA245" s="1">
        <v>43</v>
      </c>
      <c r="AB245" s="1">
        <v>47</v>
      </c>
      <c r="AC245" s="1">
        <v>44</v>
      </c>
      <c r="AE245" s="1" t="s">
        <v>77</v>
      </c>
      <c r="AF245" s="12">
        <v>47</v>
      </c>
      <c r="AG245" s="12">
        <v>20</v>
      </c>
      <c r="AH245" s="12">
        <v>27</v>
      </c>
      <c r="AI245" s="13">
        <v>38.936170212765958</v>
      </c>
      <c r="AJ245" s="13">
        <v>68</v>
      </c>
      <c r="AK245" s="13">
        <v>27</v>
      </c>
      <c r="AL245" s="13">
        <v>10.048586868677317</v>
      </c>
      <c r="AM245" s="14">
        <v>118</v>
      </c>
      <c r="AN245" s="14">
        <v>43</v>
      </c>
      <c r="AO245" s="3">
        <f t="shared" si="30"/>
        <v>0.36440677966101692</v>
      </c>
      <c r="AP245" s="14">
        <v>1</v>
      </c>
      <c r="AQ245" s="14">
        <v>46</v>
      </c>
      <c r="AR245" s="3">
        <f t="shared" si="28"/>
        <v>2.1739130434782608E-2</v>
      </c>
      <c r="AS245" s="1">
        <v>7</v>
      </c>
      <c r="AT245" s="1">
        <v>10</v>
      </c>
      <c r="AU245" s="1">
        <v>0</v>
      </c>
      <c r="AV245" s="1">
        <v>11</v>
      </c>
      <c r="AW245" s="1">
        <v>0</v>
      </c>
      <c r="AX245" s="1">
        <v>2</v>
      </c>
      <c r="AY245" s="1">
        <v>1</v>
      </c>
      <c r="AZ245" s="1">
        <f t="shared" si="1"/>
        <v>31</v>
      </c>
    </row>
    <row r="246" spans="1:52" ht="15.75" customHeight="1" x14ac:dyDescent="0.3">
      <c r="A246" s="1" t="s">
        <v>887</v>
      </c>
      <c r="B246" s="2" t="s">
        <v>888</v>
      </c>
      <c r="C246" s="2">
        <v>160000012</v>
      </c>
      <c r="D246" s="1" t="s">
        <v>857</v>
      </c>
      <c r="E246" s="1" t="s">
        <v>858</v>
      </c>
      <c r="F246" s="1" t="s">
        <v>67</v>
      </c>
      <c r="G246" s="1" t="s">
        <v>86</v>
      </c>
      <c r="H246" s="1" t="s">
        <v>87</v>
      </c>
      <c r="I246" s="1" t="s">
        <v>70</v>
      </c>
      <c r="J246" s="1" t="s">
        <v>440</v>
      </c>
      <c r="K246" s="1">
        <v>6</v>
      </c>
      <c r="L246" s="1" t="s">
        <v>776</v>
      </c>
      <c r="M246" s="1" t="s">
        <v>859</v>
      </c>
      <c r="N246" s="1" t="s">
        <v>776</v>
      </c>
      <c r="O246" s="1" t="s">
        <v>108</v>
      </c>
      <c r="P246" s="1" t="s">
        <v>11</v>
      </c>
      <c r="Q246" s="1" t="s">
        <v>80</v>
      </c>
      <c r="R246" s="1" t="s">
        <v>315</v>
      </c>
      <c r="S246" s="2"/>
      <c r="U246" s="1">
        <v>140</v>
      </c>
      <c r="V246" s="1">
        <v>191</v>
      </c>
      <c r="AC246" s="1">
        <v>73</v>
      </c>
      <c r="AE246" s="1" t="s">
        <v>93</v>
      </c>
      <c r="AF246" s="15">
        <v>146</v>
      </c>
      <c r="AG246" s="15">
        <v>70</v>
      </c>
      <c r="AH246" s="15">
        <v>76</v>
      </c>
      <c r="AI246" s="13">
        <v>39.424657534246577</v>
      </c>
      <c r="AJ246" s="13">
        <v>61</v>
      </c>
      <c r="AK246" s="13">
        <v>61</v>
      </c>
      <c r="AL246" s="13">
        <v>25</v>
      </c>
      <c r="AM246" s="14">
        <v>93</v>
      </c>
      <c r="AN246" s="14">
        <v>91</v>
      </c>
      <c r="AO246" s="3">
        <f t="shared" si="30"/>
        <v>0.978494623655914</v>
      </c>
      <c r="AP246" s="14">
        <v>0</v>
      </c>
      <c r="AQ246" s="14">
        <v>146</v>
      </c>
      <c r="AR246" s="3">
        <f t="shared" si="28"/>
        <v>0</v>
      </c>
      <c r="AZ246" s="1">
        <f t="shared" si="1"/>
        <v>0</v>
      </c>
    </row>
    <row r="247" spans="1:52" ht="15.75" customHeight="1" x14ac:dyDescent="0.3">
      <c r="A247" s="1" t="s">
        <v>889</v>
      </c>
      <c r="B247" s="2" t="s">
        <v>890</v>
      </c>
      <c r="C247" s="2">
        <v>160000021</v>
      </c>
      <c r="D247" s="1" t="s">
        <v>891</v>
      </c>
      <c r="E247" s="1" t="s">
        <v>892</v>
      </c>
      <c r="F247" s="1" t="s">
        <v>67</v>
      </c>
      <c r="G247" s="1" t="s">
        <v>86</v>
      </c>
      <c r="H247" s="1" t="s">
        <v>87</v>
      </c>
      <c r="I247" s="1" t="s">
        <v>70</v>
      </c>
      <c r="J247" s="1" t="s">
        <v>511</v>
      </c>
      <c r="K247" s="1">
        <v>6</v>
      </c>
      <c r="L247" s="1" t="s">
        <v>74</v>
      </c>
      <c r="M247" s="1" t="s">
        <v>73</v>
      </c>
      <c r="N247" s="1" t="s">
        <v>74</v>
      </c>
      <c r="O247" s="1" t="s">
        <v>74</v>
      </c>
      <c r="P247" s="1" t="s">
        <v>11</v>
      </c>
      <c r="Q247" s="1" t="s">
        <v>141</v>
      </c>
      <c r="R247" s="1" t="s">
        <v>551</v>
      </c>
      <c r="S247" s="2"/>
      <c r="T247" s="1">
        <v>33</v>
      </c>
      <c r="U247" s="1">
        <v>74</v>
      </c>
      <c r="AE247" s="1" t="s">
        <v>110</v>
      </c>
      <c r="AF247" s="12">
        <v>66</v>
      </c>
      <c r="AG247" s="12">
        <v>14</v>
      </c>
      <c r="AH247" s="12">
        <v>52</v>
      </c>
      <c r="AI247" s="12">
        <v>39.515151515151516</v>
      </c>
      <c r="AJ247" s="12">
        <v>67</v>
      </c>
      <c r="AK247" s="12">
        <v>27</v>
      </c>
      <c r="AL247" s="12">
        <v>9.7163500969993457</v>
      </c>
      <c r="AM247" s="14">
        <v>37</v>
      </c>
      <c r="AN247" s="14">
        <v>38</v>
      </c>
      <c r="AO247" s="3">
        <f t="shared" si="30"/>
        <v>1.027027027027027</v>
      </c>
      <c r="AP247" s="14">
        <v>0</v>
      </c>
      <c r="AQ247" s="14">
        <v>66</v>
      </c>
      <c r="AR247" s="3">
        <f t="shared" si="28"/>
        <v>0</v>
      </c>
      <c r="AZ247" s="1">
        <f t="shared" si="1"/>
        <v>0</v>
      </c>
    </row>
    <row r="248" spans="1:52" ht="15.75" customHeight="1" x14ac:dyDescent="0.3">
      <c r="A248" s="1" t="s">
        <v>893</v>
      </c>
      <c r="B248" s="2" t="s">
        <v>894</v>
      </c>
      <c r="C248" s="2">
        <v>160000021</v>
      </c>
      <c r="D248" s="1" t="s">
        <v>891</v>
      </c>
      <c r="E248" s="1" t="s">
        <v>892</v>
      </c>
      <c r="F248" s="1" t="s">
        <v>67</v>
      </c>
      <c r="G248" s="1" t="s">
        <v>86</v>
      </c>
      <c r="H248" s="1" t="s">
        <v>87</v>
      </c>
      <c r="I248" s="1" t="s">
        <v>70</v>
      </c>
      <c r="J248" s="1" t="s">
        <v>511</v>
      </c>
      <c r="K248" s="1">
        <v>6</v>
      </c>
      <c r="L248" s="1" t="s">
        <v>74</v>
      </c>
      <c r="M248" s="1" t="s">
        <v>73</v>
      </c>
      <c r="N248" s="1" t="s">
        <v>74</v>
      </c>
      <c r="O248" s="1" t="s">
        <v>74</v>
      </c>
      <c r="P248" s="1" t="s">
        <v>11</v>
      </c>
      <c r="Q248" s="1" t="s">
        <v>80</v>
      </c>
      <c r="R248" s="1" t="s">
        <v>109</v>
      </c>
      <c r="S248" s="2"/>
      <c r="T248" s="1">
        <v>50</v>
      </c>
      <c r="U248" s="1">
        <v>161</v>
      </c>
      <c r="AE248" s="1" t="s">
        <v>110</v>
      </c>
      <c r="AF248" s="12">
        <v>100</v>
      </c>
      <c r="AG248" s="12">
        <v>30</v>
      </c>
      <c r="AH248" s="12">
        <v>70</v>
      </c>
      <c r="AI248" s="12">
        <v>40.14</v>
      </c>
      <c r="AJ248" s="12">
        <v>59</v>
      </c>
      <c r="AK248" s="12">
        <v>25</v>
      </c>
      <c r="AL248" s="12">
        <v>9.8288587662283931</v>
      </c>
      <c r="AM248" s="14">
        <v>46</v>
      </c>
      <c r="AN248" s="14">
        <v>46</v>
      </c>
      <c r="AO248" s="3">
        <f t="shared" si="30"/>
        <v>1</v>
      </c>
      <c r="AP248" s="14">
        <v>0</v>
      </c>
      <c r="AQ248" s="14">
        <v>100</v>
      </c>
      <c r="AR248" s="3">
        <f t="shared" si="28"/>
        <v>0</v>
      </c>
      <c r="AZ248" s="1">
        <f t="shared" si="1"/>
        <v>0</v>
      </c>
    </row>
    <row r="249" spans="1:52" ht="15.75" customHeight="1" x14ac:dyDescent="0.3">
      <c r="A249" s="1" t="s">
        <v>895</v>
      </c>
      <c r="B249" s="2" t="s">
        <v>896</v>
      </c>
      <c r="C249" s="2">
        <v>160000012</v>
      </c>
      <c r="D249" s="1" t="s">
        <v>857</v>
      </c>
      <c r="E249" s="1" t="s">
        <v>858</v>
      </c>
      <c r="F249" s="1" t="s">
        <v>67</v>
      </c>
      <c r="G249" s="1" t="s">
        <v>86</v>
      </c>
      <c r="H249" s="1" t="s">
        <v>87</v>
      </c>
      <c r="I249" s="1" t="s">
        <v>70</v>
      </c>
      <c r="J249" s="1" t="s">
        <v>440</v>
      </c>
      <c r="K249" s="1">
        <v>6</v>
      </c>
      <c r="L249" s="1" t="s">
        <v>776</v>
      </c>
      <c r="M249" s="1" t="s">
        <v>859</v>
      </c>
      <c r="N249" s="1" t="s">
        <v>776</v>
      </c>
      <c r="O249" s="1" t="s">
        <v>108</v>
      </c>
      <c r="P249" s="1" t="s">
        <v>11</v>
      </c>
      <c r="Q249" s="1" t="s">
        <v>141</v>
      </c>
      <c r="R249" s="1" t="s">
        <v>897</v>
      </c>
      <c r="S249" s="2"/>
      <c r="U249" s="1">
        <v>18</v>
      </c>
      <c r="V249" s="1">
        <v>20</v>
      </c>
      <c r="AC249" s="1">
        <v>13</v>
      </c>
      <c r="AE249" s="1" t="s">
        <v>93</v>
      </c>
      <c r="AF249" s="15">
        <v>26</v>
      </c>
      <c r="AG249" s="15">
        <v>2</v>
      </c>
      <c r="AH249" s="15">
        <v>24</v>
      </c>
      <c r="AI249" s="13">
        <v>41.153846153846153</v>
      </c>
      <c r="AJ249" s="13">
        <v>57</v>
      </c>
      <c r="AK249" s="13">
        <v>57</v>
      </c>
      <c r="AL249" s="13">
        <v>30</v>
      </c>
      <c r="AM249" s="14">
        <v>14</v>
      </c>
      <c r="AN249" s="14">
        <v>14</v>
      </c>
      <c r="AO249" s="3">
        <f t="shared" si="30"/>
        <v>1</v>
      </c>
      <c r="AP249" s="14">
        <v>0</v>
      </c>
      <c r="AQ249" s="14">
        <v>26</v>
      </c>
      <c r="AR249" s="3">
        <f t="shared" si="28"/>
        <v>0</v>
      </c>
      <c r="AZ249" s="1">
        <f t="shared" si="1"/>
        <v>0</v>
      </c>
    </row>
    <row r="250" spans="1:52" ht="15.75" customHeight="1" x14ac:dyDescent="0.3">
      <c r="A250" s="1" t="s">
        <v>898</v>
      </c>
      <c r="B250" s="2" t="s">
        <v>899</v>
      </c>
      <c r="C250" s="2">
        <v>160000021</v>
      </c>
      <c r="D250" s="1" t="s">
        <v>891</v>
      </c>
      <c r="E250" s="1" t="s">
        <v>892</v>
      </c>
      <c r="F250" s="1" t="s">
        <v>67</v>
      </c>
      <c r="G250" s="1" t="s">
        <v>86</v>
      </c>
      <c r="H250" s="1" t="s">
        <v>87</v>
      </c>
      <c r="I250" s="1" t="s">
        <v>70</v>
      </c>
      <c r="J250" s="1" t="s">
        <v>511</v>
      </c>
      <c r="K250" s="1">
        <v>6</v>
      </c>
      <c r="L250" s="1" t="s">
        <v>74</v>
      </c>
      <c r="M250" s="1" t="s">
        <v>73</v>
      </c>
      <c r="N250" s="1" t="s">
        <v>74</v>
      </c>
      <c r="O250" s="1" t="s">
        <v>74</v>
      </c>
      <c r="P250" s="1" t="s">
        <v>11</v>
      </c>
      <c r="Q250" s="1" t="s">
        <v>80</v>
      </c>
      <c r="R250" s="1" t="s">
        <v>192</v>
      </c>
      <c r="S250" s="2"/>
      <c r="T250" s="1">
        <v>17</v>
      </c>
      <c r="U250" s="1">
        <v>63</v>
      </c>
      <c r="AE250" s="1" t="s">
        <v>110</v>
      </c>
      <c r="AF250" s="12">
        <v>34</v>
      </c>
      <c r="AG250" s="12">
        <v>14</v>
      </c>
      <c r="AH250" s="12">
        <v>20</v>
      </c>
      <c r="AI250" s="12">
        <v>41.588235294117645</v>
      </c>
      <c r="AJ250" s="12">
        <v>57</v>
      </c>
      <c r="AK250" s="12">
        <v>29</v>
      </c>
      <c r="AL250" s="12">
        <v>7.7854473687025783</v>
      </c>
      <c r="AM250" s="14">
        <v>19</v>
      </c>
      <c r="AN250" s="14">
        <v>19</v>
      </c>
      <c r="AO250" s="3">
        <f t="shared" si="30"/>
        <v>1</v>
      </c>
      <c r="AP250" s="14">
        <v>0</v>
      </c>
      <c r="AQ250" s="14">
        <v>34</v>
      </c>
      <c r="AR250" s="3">
        <f t="shared" si="28"/>
        <v>0</v>
      </c>
      <c r="AZ250" s="1">
        <f t="shared" si="1"/>
        <v>0</v>
      </c>
    </row>
    <row r="251" spans="1:52" ht="15.75" customHeight="1" x14ac:dyDescent="0.3">
      <c r="A251" s="1" t="s">
        <v>900</v>
      </c>
      <c r="B251" s="2" t="s">
        <v>901</v>
      </c>
      <c r="C251" s="2">
        <v>160000021</v>
      </c>
      <c r="D251" s="1" t="s">
        <v>891</v>
      </c>
      <c r="E251" s="1" t="s">
        <v>892</v>
      </c>
      <c r="F251" s="1" t="s">
        <v>67</v>
      </c>
      <c r="G251" s="1" t="s">
        <v>86</v>
      </c>
      <c r="H251" s="1" t="s">
        <v>87</v>
      </c>
      <c r="I251" s="1" t="s">
        <v>70</v>
      </c>
      <c r="J251" s="1" t="s">
        <v>511</v>
      </c>
      <c r="K251" s="1">
        <v>6</v>
      </c>
      <c r="L251" s="1" t="s">
        <v>74</v>
      </c>
      <c r="M251" s="1" t="s">
        <v>73</v>
      </c>
      <c r="N251" s="1" t="s">
        <v>74</v>
      </c>
      <c r="O251" s="1" t="s">
        <v>74</v>
      </c>
      <c r="P251" s="1" t="s">
        <v>11</v>
      </c>
      <c r="Q251" s="1" t="s">
        <v>90</v>
      </c>
      <c r="R251" s="1" t="s">
        <v>902</v>
      </c>
      <c r="S251" s="2"/>
      <c r="T251" s="1">
        <v>19</v>
      </c>
      <c r="U251" s="1">
        <v>60</v>
      </c>
      <c r="AE251" s="1" t="s">
        <v>110</v>
      </c>
      <c r="AF251" s="12">
        <v>38</v>
      </c>
      <c r="AG251" s="12">
        <v>12</v>
      </c>
      <c r="AH251" s="12">
        <v>26</v>
      </c>
      <c r="AI251" s="12">
        <v>41.631578947368418</v>
      </c>
      <c r="AJ251" s="12">
        <v>60</v>
      </c>
      <c r="AK251" s="12">
        <v>26</v>
      </c>
      <c r="AL251" s="12">
        <v>8.2410346130567209</v>
      </c>
      <c r="AM251" s="14">
        <v>19</v>
      </c>
      <c r="AN251" s="14">
        <v>22</v>
      </c>
      <c r="AO251" s="3">
        <f t="shared" si="30"/>
        <v>1.1578947368421053</v>
      </c>
      <c r="AP251" s="14">
        <v>0</v>
      </c>
      <c r="AQ251" s="14">
        <v>38</v>
      </c>
      <c r="AR251" s="3">
        <f t="shared" si="28"/>
        <v>0</v>
      </c>
      <c r="AZ251" s="1">
        <f t="shared" si="1"/>
        <v>0</v>
      </c>
    </row>
    <row r="252" spans="1:52" ht="15.75" customHeight="1" x14ac:dyDescent="0.3">
      <c r="A252" s="1" t="s">
        <v>903</v>
      </c>
      <c r="B252" s="2" t="s">
        <v>904</v>
      </c>
      <c r="C252" s="2">
        <v>160000021</v>
      </c>
      <c r="D252" s="1" t="s">
        <v>891</v>
      </c>
      <c r="E252" s="1" t="s">
        <v>892</v>
      </c>
      <c r="F252" s="1" t="s">
        <v>67</v>
      </c>
      <c r="G252" s="1" t="s">
        <v>86</v>
      </c>
      <c r="H252" s="1" t="s">
        <v>87</v>
      </c>
      <c r="I252" s="1" t="s">
        <v>70</v>
      </c>
      <c r="J252" s="1" t="s">
        <v>511</v>
      </c>
      <c r="K252" s="1">
        <v>6</v>
      </c>
      <c r="L252" s="1" t="s">
        <v>74</v>
      </c>
      <c r="M252" s="1" t="s">
        <v>73</v>
      </c>
      <c r="N252" s="1" t="s">
        <v>74</v>
      </c>
      <c r="O252" s="1" t="s">
        <v>74</v>
      </c>
      <c r="P252" s="1" t="s">
        <v>11</v>
      </c>
      <c r="Q252" s="1" t="s">
        <v>75</v>
      </c>
      <c r="R252" s="1" t="s">
        <v>905</v>
      </c>
      <c r="S252" s="2"/>
      <c r="T252" s="1">
        <v>10</v>
      </c>
      <c r="U252" s="1">
        <v>43</v>
      </c>
      <c r="AE252" s="1" t="s">
        <v>110</v>
      </c>
      <c r="AF252" s="12">
        <v>20</v>
      </c>
      <c r="AG252" s="12">
        <v>8</v>
      </c>
      <c r="AH252" s="12">
        <v>12</v>
      </c>
      <c r="AI252" s="12">
        <v>42.2</v>
      </c>
      <c r="AJ252" s="12">
        <v>52</v>
      </c>
      <c r="AK252" s="12">
        <v>31</v>
      </c>
      <c r="AL252" s="12">
        <v>6.5179912953543928</v>
      </c>
      <c r="AM252" s="14">
        <v>6</v>
      </c>
      <c r="AN252" s="14"/>
      <c r="AO252" s="3">
        <f t="shared" si="30"/>
        <v>0</v>
      </c>
      <c r="AP252" s="14">
        <v>0</v>
      </c>
      <c r="AQ252" s="14">
        <v>20</v>
      </c>
      <c r="AR252" s="3">
        <f t="shared" si="28"/>
        <v>0</v>
      </c>
      <c r="AZ252" s="1">
        <f t="shared" si="1"/>
        <v>0</v>
      </c>
    </row>
    <row r="253" spans="1:52" ht="15.75" customHeight="1" x14ac:dyDescent="0.3">
      <c r="A253" s="1" t="s">
        <v>906</v>
      </c>
      <c r="B253" s="2" t="s">
        <v>907</v>
      </c>
      <c r="C253" s="2">
        <v>160000021</v>
      </c>
      <c r="D253" s="1" t="s">
        <v>891</v>
      </c>
      <c r="E253" s="1" t="s">
        <v>892</v>
      </c>
      <c r="F253" s="1" t="s">
        <v>67</v>
      </c>
      <c r="G253" s="1" t="s">
        <v>86</v>
      </c>
      <c r="H253" s="1" t="s">
        <v>87</v>
      </c>
      <c r="I253" s="1" t="s">
        <v>70</v>
      </c>
      <c r="J253" s="1" t="s">
        <v>511</v>
      </c>
      <c r="K253" s="1">
        <v>6</v>
      </c>
      <c r="L253" s="1" t="s">
        <v>74</v>
      </c>
      <c r="M253" s="1" t="s">
        <v>73</v>
      </c>
      <c r="N253" s="1" t="s">
        <v>74</v>
      </c>
      <c r="O253" s="1" t="s">
        <v>74</v>
      </c>
      <c r="P253" s="1" t="s">
        <v>11</v>
      </c>
      <c r="Q253" s="1" t="s">
        <v>90</v>
      </c>
      <c r="R253" s="1" t="s">
        <v>395</v>
      </c>
      <c r="S253" s="2"/>
      <c r="T253" s="1">
        <v>14</v>
      </c>
      <c r="U253" s="1">
        <v>39</v>
      </c>
      <c r="AE253" s="1" t="s">
        <v>110</v>
      </c>
      <c r="AF253" s="12">
        <v>28</v>
      </c>
      <c r="AG253" s="12">
        <v>2</v>
      </c>
      <c r="AH253" s="12">
        <v>26</v>
      </c>
      <c r="AI253" s="12">
        <v>42.285714285714285</v>
      </c>
      <c r="AJ253" s="12">
        <v>56</v>
      </c>
      <c r="AK253" s="12">
        <v>29</v>
      </c>
      <c r="AL253" s="12">
        <v>8.0409007366143097</v>
      </c>
      <c r="AM253" s="14">
        <v>16</v>
      </c>
      <c r="AN253" s="14">
        <v>17</v>
      </c>
      <c r="AO253" s="3">
        <f t="shared" si="30"/>
        <v>1.0625</v>
      </c>
      <c r="AP253" s="14">
        <v>0</v>
      </c>
      <c r="AQ253" s="14">
        <v>28</v>
      </c>
      <c r="AR253" s="3">
        <f t="shared" si="28"/>
        <v>0</v>
      </c>
      <c r="AZ253" s="1">
        <f t="shared" si="1"/>
        <v>0</v>
      </c>
    </row>
    <row r="254" spans="1:52" ht="15.75" customHeight="1" x14ac:dyDescent="0.3">
      <c r="A254" s="1" t="s">
        <v>908</v>
      </c>
      <c r="B254" s="2" t="s">
        <v>909</v>
      </c>
      <c r="C254" s="2" t="s">
        <v>910</v>
      </c>
      <c r="D254" s="1" t="s">
        <v>911</v>
      </c>
      <c r="E254" s="1" t="s">
        <v>912</v>
      </c>
      <c r="F254" s="1" t="s">
        <v>67</v>
      </c>
      <c r="G254" s="1" t="s">
        <v>68</v>
      </c>
      <c r="H254" s="1" t="s">
        <v>439</v>
      </c>
      <c r="I254" s="1" t="s">
        <v>70</v>
      </c>
      <c r="J254" s="1" t="s">
        <v>440</v>
      </c>
      <c r="K254" s="1">
        <v>6</v>
      </c>
      <c r="L254" s="1" t="s">
        <v>512</v>
      </c>
      <c r="M254" s="1" t="s">
        <v>490</v>
      </c>
      <c r="N254" s="1" t="s">
        <v>491</v>
      </c>
      <c r="O254" s="1" t="s">
        <v>108</v>
      </c>
      <c r="P254" s="1" t="s">
        <v>11</v>
      </c>
      <c r="Q254" s="1" t="s">
        <v>80</v>
      </c>
      <c r="R254" s="1" t="s">
        <v>192</v>
      </c>
      <c r="S254" s="2"/>
      <c r="AB254" s="1">
        <v>26</v>
      </c>
      <c r="AE254" s="1" t="s">
        <v>77</v>
      </c>
      <c r="AF254" s="12">
        <v>26</v>
      </c>
      <c r="AG254" s="12">
        <v>7</v>
      </c>
      <c r="AH254" s="12">
        <v>19</v>
      </c>
      <c r="AI254" s="13">
        <v>42.346153846153847</v>
      </c>
      <c r="AJ254" s="13">
        <v>56</v>
      </c>
      <c r="AK254" s="13">
        <v>27</v>
      </c>
      <c r="AL254" s="13">
        <v>8.5647758064869794</v>
      </c>
      <c r="AM254" s="14"/>
      <c r="AN254" s="14">
        <v>53</v>
      </c>
      <c r="AO254" s="3"/>
      <c r="AP254" s="14">
        <v>0</v>
      </c>
      <c r="AQ254" s="14">
        <v>26</v>
      </c>
      <c r="AR254" s="3">
        <f t="shared" si="28"/>
        <v>0</v>
      </c>
      <c r="AZ254" s="1">
        <f t="shared" si="1"/>
        <v>0</v>
      </c>
    </row>
    <row r="255" spans="1:52" ht="15.75" customHeight="1" x14ac:dyDescent="0.3">
      <c r="A255" s="1" t="s">
        <v>913</v>
      </c>
      <c r="B255" s="2" t="s">
        <v>914</v>
      </c>
      <c r="C255" s="2">
        <v>160000021</v>
      </c>
      <c r="D255" s="1" t="s">
        <v>891</v>
      </c>
      <c r="E255" s="1" t="s">
        <v>892</v>
      </c>
      <c r="F255" s="1" t="s">
        <v>67</v>
      </c>
      <c r="G255" s="1" t="s">
        <v>86</v>
      </c>
      <c r="H255" s="1" t="s">
        <v>87</v>
      </c>
      <c r="I255" s="1" t="s">
        <v>70</v>
      </c>
      <c r="J255" s="1" t="s">
        <v>511</v>
      </c>
      <c r="K255" s="1">
        <v>6</v>
      </c>
      <c r="L255" s="1" t="s">
        <v>74</v>
      </c>
      <c r="M255" s="1" t="s">
        <v>73</v>
      </c>
      <c r="N255" s="1" t="s">
        <v>74</v>
      </c>
      <c r="O255" s="1" t="s">
        <v>74</v>
      </c>
      <c r="P255" s="1" t="s">
        <v>11</v>
      </c>
      <c r="Q255" s="1" t="s">
        <v>80</v>
      </c>
      <c r="R255" s="1" t="s">
        <v>315</v>
      </c>
      <c r="S255" s="2"/>
      <c r="T255" s="1">
        <v>9</v>
      </c>
      <c r="U255" s="1">
        <v>48</v>
      </c>
      <c r="AE255" s="1" t="s">
        <v>110</v>
      </c>
      <c r="AF255" s="12">
        <v>18</v>
      </c>
      <c r="AG255" s="12">
        <v>4</v>
      </c>
      <c r="AH255" s="12">
        <v>14</v>
      </c>
      <c r="AI255" s="12">
        <v>42.777777777777779</v>
      </c>
      <c r="AJ255" s="12">
        <v>55</v>
      </c>
      <c r="AK255" s="12">
        <v>30</v>
      </c>
      <c r="AL255" s="12">
        <v>9.7591920805648336</v>
      </c>
      <c r="AM255" s="14">
        <v>13</v>
      </c>
      <c r="AN255" s="14">
        <v>13</v>
      </c>
      <c r="AO255" s="3">
        <f t="shared" ref="AO255:AO258" si="31">AN255/AM255</f>
        <v>1</v>
      </c>
      <c r="AP255" s="14">
        <v>0</v>
      </c>
      <c r="AQ255" s="14">
        <v>18</v>
      </c>
      <c r="AR255" s="3">
        <f t="shared" si="28"/>
        <v>0</v>
      </c>
      <c r="AZ255" s="1">
        <f t="shared" si="1"/>
        <v>0</v>
      </c>
    </row>
    <row r="256" spans="1:52" ht="15.75" customHeight="1" x14ac:dyDescent="0.3">
      <c r="A256" s="1" t="s">
        <v>915</v>
      </c>
      <c r="B256" s="2" t="s">
        <v>916</v>
      </c>
      <c r="C256" s="2">
        <v>160000012</v>
      </c>
      <c r="D256" s="1" t="s">
        <v>857</v>
      </c>
      <c r="E256" s="1" t="s">
        <v>858</v>
      </c>
      <c r="F256" s="1" t="s">
        <v>67</v>
      </c>
      <c r="G256" s="1" t="s">
        <v>86</v>
      </c>
      <c r="H256" s="1" t="s">
        <v>87</v>
      </c>
      <c r="I256" s="1" t="s">
        <v>70</v>
      </c>
      <c r="J256" s="1" t="s">
        <v>440</v>
      </c>
      <c r="K256" s="1">
        <v>6</v>
      </c>
      <c r="L256" s="1" t="s">
        <v>776</v>
      </c>
      <c r="M256" s="1" t="s">
        <v>859</v>
      </c>
      <c r="N256" s="1" t="s">
        <v>776</v>
      </c>
      <c r="O256" s="1" t="s">
        <v>108</v>
      </c>
      <c r="P256" s="1" t="s">
        <v>11</v>
      </c>
      <c r="Q256" s="1" t="s">
        <v>90</v>
      </c>
      <c r="R256" s="1" t="s">
        <v>917</v>
      </c>
      <c r="S256" s="2"/>
      <c r="U256" s="1">
        <v>28</v>
      </c>
      <c r="V256" s="1">
        <v>37</v>
      </c>
      <c r="AC256" s="1">
        <v>13</v>
      </c>
      <c r="AE256" s="1" t="s">
        <v>93</v>
      </c>
      <c r="AF256" s="15">
        <v>26</v>
      </c>
      <c r="AG256" s="15">
        <v>10</v>
      </c>
      <c r="AH256" s="15">
        <v>16</v>
      </c>
      <c r="AI256" s="13">
        <v>42.92307692307692</v>
      </c>
      <c r="AJ256" s="13">
        <v>60</v>
      </c>
      <c r="AK256" s="13">
        <v>60</v>
      </c>
      <c r="AL256" s="13">
        <v>26</v>
      </c>
      <c r="AM256" s="14">
        <v>18</v>
      </c>
      <c r="AN256" s="14">
        <v>17</v>
      </c>
      <c r="AO256" s="3">
        <f t="shared" si="31"/>
        <v>0.94444444444444442</v>
      </c>
      <c r="AP256" s="14">
        <v>0</v>
      </c>
      <c r="AQ256" s="14">
        <v>26</v>
      </c>
      <c r="AR256" s="3">
        <f t="shared" si="28"/>
        <v>0</v>
      </c>
      <c r="AZ256" s="1">
        <f t="shared" si="1"/>
        <v>0</v>
      </c>
    </row>
    <row r="257" spans="1:52" ht="15.75" customHeight="1" x14ac:dyDescent="0.3">
      <c r="A257" s="1" t="s">
        <v>918</v>
      </c>
      <c r="B257" s="2" t="s">
        <v>919</v>
      </c>
      <c r="C257" s="2">
        <v>160000012</v>
      </c>
      <c r="D257" s="1" t="s">
        <v>857</v>
      </c>
      <c r="E257" s="1" t="s">
        <v>858</v>
      </c>
      <c r="F257" s="1" t="s">
        <v>67</v>
      </c>
      <c r="G257" s="1" t="s">
        <v>86</v>
      </c>
      <c r="H257" s="1" t="s">
        <v>87</v>
      </c>
      <c r="I257" s="1" t="s">
        <v>70</v>
      </c>
      <c r="J257" s="1" t="s">
        <v>440</v>
      </c>
      <c r="K257" s="1">
        <v>6</v>
      </c>
      <c r="L257" s="1" t="s">
        <v>776</v>
      </c>
      <c r="M257" s="1" t="s">
        <v>859</v>
      </c>
      <c r="N257" s="1" t="s">
        <v>776</v>
      </c>
      <c r="O257" s="1" t="s">
        <v>108</v>
      </c>
      <c r="P257" s="1" t="s">
        <v>11</v>
      </c>
      <c r="Q257" s="1" t="s">
        <v>90</v>
      </c>
      <c r="R257" s="1" t="s">
        <v>920</v>
      </c>
      <c r="S257" s="2">
        <v>2018</v>
      </c>
      <c r="U257" s="1">
        <v>127</v>
      </c>
      <c r="V257" s="1">
        <v>116</v>
      </c>
      <c r="AC257" s="1">
        <v>52</v>
      </c>
      <c r="AE257" s="1" t="s">
        <v>93</v>
      </c>
      <c r="AF257" s="15">
        <v>104</v>
      </c>
      <c r="AG257" s="15">
        <v>22</v>
      </c>
      <c r="AH257" s="15">
        <v>82</v>
      </c>
      <c r="AI257" s="13">
        <v>42.980769230769234</v>
      </c>
      <c r="AJ257" s="13">
        <v>69</v>
      </c>
      <c r="AK257" s="13">
        <v>69</v>
      </c>
      <c r="AL257" s="13">
        <v>25</v>
      </c>
      <c r="AM257" s="14">
        <v>54</v>
      </c>
      <c r="AN257" s="14">
        <v>54</v>
      </c>
      <c r="AO257" s="3">
        <f t="shared" si="31"/>
        <v>1</v>
      </c>
      <c r="AP257" s="14">
        <v>0</v>
      </c>
      <c r="AQ257" s="14">
        <v>104</v>
      </c>
      <c r="AR257" s="3">
        <f t="shared" si="28"/>
        <v>0</v>
      </c>
      <c r="AZ257" s="1">
        <f t="shared" ref="AZ257:AZ360" si="32">SUM(AS257:AY257)</f>
        <v>0</v>
      </c>
    </row>
    <row r="258" spans="1:52" ht="15.75" customHeight="1" x14ac:dyDescent="0.3">
      <c r="A258" s="1" t="s">
        <v>921</v>
      </c>
      <c r="B258" s="2" t="s">
        <v>922</v>
      </c>
      <c r="C258" s="2">
        <v>260000057</v>
      </c>
      <c r="D258" s="1" t="s">
        <v>923</v>
      </c>
      <c r="E258" s="1" t="s">
        <v>924</v>
      </c>
      <c r="F258" s="1" t="s">
        <v>67</v>
      </c>
      <c r="G258" s="1" t="s">
        <v>68</v>
      </c>
      <c r="H258" s="1" t="s">
        <v>439</v>
      </c>
      <c r="I258" s="1" t="s">
        <v>70</v>
      </c>
      <c r="J258" s="1" t="s">
        <v>98</v>
      </c>
      <c r="K258" s="1">
        <v>6</v>
      </c>
      <c r="L258" s="1" t="s">
        <v>132</v>
      </c>
      <c r="M258" s="1" t="s">
        <v>73</v>
      </c>
      <c r="N258" s="1" t="s">
        <v>74</v>
      </c>
      <c r="O258" s="1" t="s">
        <v>74</v>
      </c>
      <c r="P258" s="1" t="s">
        <v>11</v>
      </c>
      <c r="Q258" s="1" t="s">
        <v>80</v>
      </c>
      <c r="R258" s="1" t="s">
        <v>109</v>
      </c>
      <c r="S258" s="2"/>
      <c r="T258" s="1">
        <v>8</v>
      </c>
      <c r="U258" s="1">
        <v>6</v>
      </c>
      <c r="V258" s="1">
        <v>31</v>
      </c>
      <c r="X258" s="1">
        <v>23</v>
      </c>
      <c r="Y258" s="1">
        <v>60</v>
      </c>
      <c r="Z258" s="1">
        <v>51</v>
      </c>
      <c r="AA258" s="1">
        <v>86</v>
      </c>
      <c r="AB258" s="1">
        <v>99</v>
      </c>
      <c r="AC258" s="1">
        <v>25</v>
      </c>
      <c r="AD258" s="1">
        <v>65</v>
      </c>
      <c r="AE258" s="1" t="s">
        <v>77</v>
      </c>
      <c r="AF258" s="12">
        <v>99</v>
      </c>
      <c r="AG258" s="12">
        <v>35</v>
      </c>
      <c r="AH258" s="12">
        <v>64</v>
      </c>
      <c r="AI258" s="13">
        <v>43.102040816326529</v>
      </c>
      <c r="AJ258" s="13">
        <v>65</v>
      </c>
      <c r="AK258" s="13">
        <v>30</v>
      </c>
      <c r="AL258" s="13">
        <v>7.7186209386258406</v>
      </c>
      <c r="AM258" s="14">
        <v>68</v>
      </c>
      <c r="AN258" s="14">
        <v>65</v>
      </c>
      <c r="AO258" s="3">
        <f t="shared" si="31"/>
        <v>0.95588235294117652</v>
      </c>
      <c r="AP258" s="14">
        <v>2</v>
      </c>
      <c r="AQ258" s="14">
        <v>96</v>
      </c>
      <c r="AR258" s="3">
        <f t="shared" si="28"/>
        <v>2.0833333333333332E-2</v>
      </c>
      <c r="AS258" s="1">
        <v>0</v>
      </c>
      <c r="AT258" s="1">
        <v>5</v>
      </c>
      <c r="AU258" s="1">
        <v>0</v>
      </c>
      <c r="AV258" s="1">
        <v>0</v>
      </c>
      <c r="AW258" s="1">
        <v>0</v>
      </c>
      <c r="AX258" s="1">
        <v>17</v>
      </c>
      <c r="AY258" s="1">
        <v>0</v>
      </c>
      <c r="AZ258" s="1">
        <f t="shared" si="32"/>
        <v>22</v>
      </c>
    </row>
    <row r="259" spans="1:52" ht="15.75" customHeight="1" x14ac:dyDescent="0.3">
      <c r="A259" s="1" t="s">
        <v>925</v>
      </c>
      <c r="B259" s="2" t="s">
        <v>926</v>
      </c>
      <c r="C259" s="2" t="s">
        <v>910</v>
      </c>
      <c r="D259" s="1" t="s">
        <v>911</v>
      </c>
      <c r="E259" s="1" t="s">
        <v>912</v>
      </c>
      <c r="F259" s="1" t="s">
        <v>67</v>
      </c>
      <c r="G259" s="1" t="s">
        <v>68</v>
      </c>
      <c r="H259" s="1" t="s">
        <v>439</v>
      </c>
      <c r="I259" s="1" t="s">
        <v>70</v>
      </c>
      <c r="J259" s="1" t="s">
        <v>440</v>
      </c>
      <c r="K259" s="1">
        <v>6</v>
      </c>
      <c r="L259" s="1" t="s">
        <v>512</v>
      </c>
      <c r="M259" s="1" t="s">
        <v>490</v>
      </c>
      <c r="N259" s="1" t="s">
        <v>491</v>
      </c>
      <c r="O259" s="1" t="s">
        <v>108</v>
      </c>
      <c r="P259" s="1" t="s">
        <v>11</v>
      </c>
      <c r="Q259" s="1" t="s">
        <v>80</v>
      </c>
      <c r="R259" s="1" t="s">
        <v>927</v>
      </c>
      <c r="S259" s="2"/>
      <c r="AB259" s="1">
        <v>71</v>
      </c>
      <c r="AE259" s="1" t="s">
        <v>77</v>
      </c>
      <c r="AF259" s="12">
        <v>71</v>
      </c>
      <c r="AG259" s="12">
        <v>36</v>
      </c>
      <c r="AH259" s="12">
        <v>35</v>
      </c>
      <c r="AI259" s="13">
        <v>43.594202898550726</v>
      </c>
      <c r="AJ259" s="13">
        <v>70</v>
      </c>
      <c r="AK259" s="13">
        <v>27</v>
      </c>
      <c r="AL259" s="13">
        <v>10.326036254194186</v>
      </c>
      <c r="AM259" s="14"/>
      <c r="AN259" s="14">
        <v>75</v>
      </c>
      <c r="AO259" s="3"/>
      <c r="AP259" s="14">
        <v>0</v>
      </c>
      <c r="AQ259" s="14">
        <v>69</v>
      </c>
      <c r="AR259" s="3">
        <f t="shared" si="28"/>
        <v>0</v>
      </c>
      <c r="AZ259" s="1">
        <f t="shared" si="32"/>
        <v>0</v>
      </c>
    </row>
    <row r="260" spans="1:52" ht="15.75" customHeight="1" x14ac:dyDescent="0.3">
      <c r="A260" s="1" t="s">
        <v>928</v>
      </c>
      <c r="B260" s="2" t="s">
        <v>929</v>
      </c>
      <c r="C260" s="2">
        <v>160000021</v>
      </c>
      <c r="D260" s="1" t="s">
        <v>891</v>
      </c>
      <c r="E260" s="1" t="s">
        <v>892</v>
      </c>
      <c r="F260" s="1" t="s">
        <v>67</v>
      </c>
      <c r="G260" s="1" t="s">
        <v>86</v>
      </c>
      <c r="H260" s="1" t="s">
        <v>87</v>
      </c>
      <c r="I260" s="1" t="s">
        <v>70</v>
      </c>
      <c r="J260" s="1" t="s">
        <v>511</v>
      </c>
      <c r="K260" s="1">
        <v>6</v>
      </c>
      <c r="L260" s="1" t="s">
        <v>74</v>
      </c>
      <c r="M260" s="1" t="s">
        <v>73</v>
      </c>
      <c r="N260" s="1" t="s">
        <v>74</v>
      </c>
      <c r="O260" s="1" t="s">
        <v>74</v>
      </c>
      <c r="P260" s="1" t="s">
        <v>11</v>
      </c>
      <c r="Q260" s="1" t="s">
        <v>80</v>
      </c>
      <c r="R260" s="1" t="s">
        <v>254</v>
      </c>
      <c r="S260" s="2"/>
      <c r="T260" s="1">
        <v>20</v>
      </c>
      <c r="U260" s="1">
        <v>60</v>
      </c>
      <c r="AE260" s="1" t="s">
        <v>110</v>
      </c>
      <c r="AF260" s="12">
        <v>40</v>
      </c>
      <c r="AG260" s="12">
        <v>18</v>
      </c>
      <c r="AH260" s="12">
        <v>22</v>
      </c>
      <c r="AI260" s="12">
        <v>43.6</v>
      </c>
      <c r="AJ260" s="12">
        <v>65</v>
      </c>
      <c r="AK260" s="12">
        <v>25</v>
      </c>
      <c r="AL260" s="12">
        <v>10.772234013473055</v>
      </c>
      <c r="AM260" s="14">
        <v>22</v>
      </c>
      <c r="AN260" s="14">
        <v>26</v>
      </c>
      <c r="AO260" s="3">
        <f>AN260/AM260</f>
        <v>1.1818181818181819</v>
      </c>
      <c r="AP260" s="14">
        <v>0</v>
      </c>
      <c r="AQ260" s="14">
        <v>40</v>
      </c>
      <c r="AR260" s="3">
        <f t="shared" si="28"/>
        <v>0</v>
      </c>
      <c r="AZ260" s="1">
        <f t="shared" si="32"/>
        <v>0</v>
      </c>
    </row>
    <row r="261" spans="1:52" ht="15.75" customHeight="1" x14ac:dyDescent="0.3">
      <c r="A261" s="1" t="s">
        <v>930</v>
      </c>
      <c r="B261" s="2" t="s">
        <v>931</v>
      </c>
      <c r="C261" s="2" t="s">
        <v>910</v>
      </c>
      <c r="D261" s="1" t="s">
        <v>911</v>
      </c>
      <c r="E261" s="1" t="s">
        <v>912</v>
      </c>
      <c r="F261" s="1" t="s">
        <v>67</v>
      </c>
      <c r="G261" s="1" t="s">
        <v>68</v>
      </c>
      <c r="H261" s="1" t="s">
        <v>439</v>
      </c>
      <c r="I261" s="1" t="s">
        <v>70</v>
      </c>
      <c r="J261" s="1" t="s">
        <v>440</v>
      </c>
      <c r="K261" s="1">
        <v>6</v>
      </c>
      <c r="L261" s="1" t="s">
        <v>512</v>
      </c>
      <c r="M261" s="1" t="s">
        <v>490</v>
      </c>
      <c r="N261" s="1" t="s">
        <v>491</v>
      </c>
      <c r="O261" s="1" t="s">
        <v>108</v>
      </c>
      <c r="P261" s="1" t="s">
        <v>11</v>
      </c>
      <c r="Q261" s="1" t="s">
        <v>80</v>
      </c>
      <c r="R261" s="1" t="s">
        <v>932</v>
      </c>
      <c r="S261" s="2"/>
      <c r="AB261" s="1">
        <v>44</v>
      </c>
      <c r="AE261" s="1" t="s">
        <v>77</v>
      </c>
      <c r="AF261" s="12">
        <v>44</v>
      </c>
      <c r="AG261" s="12">
        <v>14</v>
      </c>
      <c r="AH261" s="12">
        <v>30</v>
      </c>
      <c r="AI261" s="13">
        <v>43.97674418604651</v>
      </c>
      <c r="AJ261" s="13">
        <v>65</v>
      </c>
      <c r="AK261" s="13">
        <v>24</v>
      </c>
      <c r="AL261" s="13">
        <v>10.058136654311802</v>
      </c>
      <c r="AM261" s="14"/>
      <c r="AN261" s="14">
        <v>28</v>
      </c>
      <c r="AO261" s="3"/>
      <c r="AP261" s="14">
        <v>0</v>
      </c>
      <c r="AQ261" s="14">
        <v>44</v>
      </c>
      <c r="AR261" s="3">
        <f t="shared" si="28"/>
        <v>0</v>
      </c>
      <c r="AZ261" s="1">
        <f t="shared" si="32"/>
        <v>0</v>
      </c>
    </row>
    <row r="262" spans="1:52" ht="15.75" customHeight="1" x14ac:dyDescent="0.3">
      <c r="A262" s="1" t="s">
        <v>933</v>
      </c>
      <c r="B262" s="2" t="s">
        <v>934</v>
      </c>
      <c r="C262" s="2" t="s">
        <v>910</v>
      </c>
      <c r="D262" s="1" t="s">
        <v>911</v>
      </c>
      <c r="E262" s="1" t="s">
        <v>912</v>
      </c>
      <c r="F262" s="1" t="s">
        <v>67</v>
      </c>
      <c r="G262" s="1" t="s">
        <v>68</v>
      </c>
      <c r="H262" s="1" t="s">
        <v>439</v>
      </c>
      <c r="I262" s="1" t="s">
        <v>70</v>
      </c>
      <c r="J262" s="1" t="s">
        <v>440</v>
      </c>
      <c r="K262" s="1">
        <v>6</v>
      </c>
      <c r="L262" s="1" t="s">
        <v>512</v>
      </c>
      <c r="M262" s="1" t="s">
        <v>490</v>
      </c>
      <c r="N262" s="1" t="s">
        <v>491</v>
      </c>
      <c r="O262" s="1" t="s">
        <v>108</v>
      </c>
      <c r="P262" s="1" t="s">
        <v>11</v>
      </c>
      <c r="Q262" s="1" t="s">
        <v>80</v>
      </c>
      <c r="R262" s="1" t="s">
        <v>109</v>
      </c>
      <c r="S262" s="2"/>
      <c r="AB262" s="1">
        <v>20</v>
      </c>
      <c r="AE262" s="1" t="s">
        <v>77</v>
      </c>
      <c r="AF262" s="12">
        <v>20</v>
      </c>
      <c r="AG262" s="12">
        <v>5</v>
      </c>
      <c r="AH262" s="12">
        <v>15</v>
      </c>
      <c r="AI262" s="13">
        <v>44</v>
      </c>
      <c r="AJ262" s="13">
        <v>58</v>
      </c>
      <c r="AK262" s="13">
        <v>29</v>
      </c>
      <c r="AL262" s="13">
        <v>9.4256090128520551</v>
      </c>
      <c r="AM262" s="14">
        <v>52</v>
      </c>
      <c r="AN262" s="14">
        <v>48</v>
      </c>
      <c r="AO262" s="3">
        <f t="shared" ref="AO262:AO264" si="33">AN262/AM262</f>
        <v>0.92307692307692313</v>
      </c>
      <c r="AP262" s="14">
        <v>0</v>
      </c>
      <c r="AQ262" s="14">
        <v>20</v>
      </c>
      <c r="AR262" s="3">
        <f t="shared" si="28"/>
        <v>0</v>
      </c>
      <c r="AZ262" s="1">
        <f t="shared" si="32"/>
        <v>0</v>
      </c>
    </row>
    <row r="263" spans="1:52" ht="15.75" customHeight="1" x14ac:dyDescent="0.3">
      <c r="A263" s="1" t="s">
        <v>935</v>
      </c>
      <c r="B263" s="2" t="s">
        <v>936</v>
      </c>
      <c r="C263" s="2">
        <v>160000012</v>
      </c>
      <c r="D263" s="1" t="s">
        <v>857</v>
      </c>
      <c r="E263" s="1" t="s">
        <v>858</v>
      </c>
      <c r="F263" s="1" t="s">
        <v>67</v>
      </c>
      <c r="G263" s="1" t="s">
        <v>86</v>
      </c>
      <c r="H263" s="1" t="s">
        <v>87</v>
      </c>
      <c r="I263" s="1" t="s">
        <v>70</v>
      </c>
      <c r="J263" s="1" t="s">
        <v>440</v>
      </c>
      <c r="K263" s="1">
        <v>6</v>
      </c>
      <c r="L263" s="1" t="s">
        <v>776</v>
      </c>
      <c r="M263" s="1" t="s">
        <v>859</v>
      </c>
      <c r="N263" s="1" t="s">
        <v>776</v>
      </c>
      <c r="O263" s="1" t="s">
        <v>108</v>
      </c>
      <c r="P263" s="1" t="s">
        <v>11</v>
      </c>
      <c r="Q263" s="1" t="s">
        <v>195</v>
      </c>
      <c r="R263" s="1" t="s">
        <v>937</v>
      </c>
      <c r="S263" s="2"/>
      <c r="U263" s="1">
        <v>43</v>
      </c>
      <c r="V263" s="1">
        <v>36</v>
      </c>
      <c r="AC263" s="1">
        <v>12</v>
      </c>
      <c r="AE263" s="1" t="s">
        <v>93</v>
      </c>
      <c r="AF263" s="15">
        <v>24</v>
      </c>
      <c r="AG263" s="15">
        <v>2</v>
      </c>
      <c r="AH263" s="15">
        <v>22</v>
      </c>
      <c r="AI263" s="13">
        <v>44.166666666666664</v>
      </c>
      <c r="AJ263" s="13">
        <v>65</v>
      </c>
      <c r="AK263" s="13">
        <v>65</v>
      </c>
      <c r="AL263" s="13">
        <v>27</v>
      </c>
      <c r="AM263" s="14">
        <v>12</v>
      </c>
      <c r="AN263" s="14">
        <v>12</v>
      </c>
      <c r="AO263" s="3">
        <f t="shared" si="33"/>
        <v>1</v>
      </c>
      <c r="AP263" s="14">
        <v>0</v>
      </c>
      <c r="AQ263" s="14">
        <v>24</v>
      </c>
      <c r="AR263" s="3">
        <f t="shared" si="28"/>
        <v>0</v>
      </c>
      <c r="AZ263" s="1">
        <f t="shared" si="32"/>
        <v>0</v>
      </c>
    </row>
    <row r="264" spans="1:52" ht="15.75" customHeight="1" x14ac:dyDescent="0.3">
      <c r="A264" s="1" t="s">
        <v>938</v>
      </c>
      <c r="B264" s="2" t="s">
        <v>939</v>
      </c>
      <c r="C264" s="2">
        <v>260000057</v>
      </c>
      <c r="D264" s="1" t="s">
        <v>923</v>
      </c>
      <c r="E264" s="1" t="s">
        <v>924</v>
      </c>
      <c r="F264" s="1" t="s">
        <v>67</v>
      </c>
      <c r="G264" s="1" t="s">
        <v>68</v>
      </c>
      <c r="H264" s="1" t="s">
        <v>439</v>
      </c>
      <c r="I264" s="1" t="s">
        <v>70</v>
      </c>
      <c r="J264" s="1" t="s">
        <v>98</v>
      </c>
      <c r="K264" s="1">
        <v>6</v>
      </c>
      <c r="L264" s="1" t="s">
        <v>132</v>
      </c>
      <c r="M264" s="1" t="s">
        <v>73</v>
      </c>
      <c r="N264" s="1" t="s">
        <v>74</v>
      </c>
      <c r="O264" s="1" t="s">
        <v>74</v>
      </c>
      <c r="P264" s="1" t="s">
        <v>11</v>
      </c>
      <c r="Q264" s="1" t="s">
        <v>80</v>
      </c>
      <c r="R264" s="1" t="s">
        <v>192</v>
      </c>
      <c r="S264" s="2"/>
      <c r="T264" s="1">
        <v>25</v>
      </c>
      <c r="U264" s="1">
        <v>53</v>
      </c>
      <c r="V264" s="1">
        <v>80</v>
      </c>
      <c r="Y264" s="1">
        <v>97</v>
      </c>
      <c r="AE264" s="1" t="s">
        <v>846</v>
      </c>
      <c r="AF264" s="12">
        <v>194</v>
      </c>
      <c r="AG264" s="12">
        <v>76</v>
      </c>
      <c r="AH264" s="12">
        <v>118</v>
      </c>
      <c r="AI264" s="16">
        <v>44.351063829787201</v>
      </c>
      <c r="AJ264" s="1">
        <v>70</v>
      </c>
      <c r="AK264" s="1">
        <v>29</v>
      </c>
      <c r="AL264" s="1">
        <v>9.2842312947207297</v>
      </c>
      <c r="AM264" s="14">
        <v>86</v>
      </c>
      <c r="AN264" s="14">
        <v>76</v>
      </c>
      <c r="AO264" s="3">
        <f t="shared" si="33"/>
        <v>0.88372093023255816</v>
      </c>
      <c r="AP264" s="14">
        <v>2</v>
      </c>
      <c r="AQ264" s="14">
        <v>186</v>
      </c>
      <c r="AR264" s="3">
        <f t="shared" si="28"/>
        <v>1.0752688172043012E-2</v>
      </c>
      <c r="AS264" s="1">
        <v>0</v>
      </c>
      <c r="AT264" s="1">
        <v>9</v>
      </c>
      <c r="AU264" s="1">
        <v>11</v>
      </c>
      <c r="AV264" s="1">
        <v>14</v>
      </c>
      <c r="AW264" s="1">
        <v>0</v>
      </c>
      <c r="AX264" s="1">
        <v>4</v>
      </c>
      <c r="AY264" s="1">
        <v>0</v>
      </c>
      <c r="AZ264" s="1">
        <f t="shared" si="32"/>
        <v>38</v>
      </c>
    </row>
    <row r="265" spans="1:52" ht="15.75" customHeight="1" x14ac:dyDescent="0.3">
      <c r="A265" s="1" t="s">
        <v>940</v>
      </c>
      <c r="B265" s="2" t="s">
        <v>941</v>
      </c>
      <c r="C265" s="2">
        <v>260000030</v>
      </c>
      <c r="D265" s="1" t="s">
        <v>942</v>
      </c>
      <c r="E265" s="1" t="s">
        <v>943</v>
      </c>
      <c r="F265" s="1" t="s">
        <v>67</v>
      </c>
      <c r="G265" s="1" t="s">
        <v>68</v>
      </c>
      <c r="H265" s="1" t="s">
        <v>69</v>
      </c>
      <c r="I265" s="1" t="s">
        <v>70</v>
      </c>
      <c r="J265" s="1" t="s">
        <v>619</v>
      </c>
      <c r="K265" s="1">
        <v>6</v>
      </c>
      <c r="L265" s="1" t="s">
        <v>731</v>
      </c>
      <c r="M265" s="1" t="s">
        <v>73</v>
      </c>
      <c r="N265" s="1" t="s">
        <v>74</v>
      </c>
      <c r="O265" s="1" t="s">
        <v>74</v>
      </c>
      <c r="P265" s="1" t="s">
        <v>11</v>
      </c>
      <c r="Q265" s="1" t="s">
        <v>80</v>
      </c>
      <c r="R265" s="1" t="s">
        <v>944</v>
      </c>
      <c r="S265" s="2"/>
      <c r="W265" s="1">
        <v>7</v>
      </c>
      <c r="X265" s="1">
        <v>15</v>
      </c>
      <c r="Z265" s="1">
        <v>28</v>
      </c>
      <c r="AA265" s="1">
        <v>24</v>
      </c>
      <c r="AB265" s="1">
        <v>20</v>
      </c>
      <c r="AC265" s="1">
        <v>19</v>
      </c>
      <c r="AD265" s="1">
        <v>13</v>
      </c>
      <c r="AE265" s="1" t="s">
        <v>77</v>
      </c>
      <c r="AF265" s="12">
        <v>20</v>
      </c>
      <c r="AG265" s="12">
        <v>4</v>
      </c>
      <c r="AH265" s="12">
        <v>16</v>
      </c>
      <c r="AI265" s="13">
        <v>45.35</v>
      </c>
      <c r="AJ265" s="13">
        <v>65</v>
      </c>
      <c r="AK265" s="13">
        <v>25</v>
      </c>
      <c r="AL265" s="13">
        <v>11.672166623391336</v>
      </c>
      <c r="AM265" s="14"/>
      <c r="AN265" s="14"/>
      <c r="AO265" s="3"/>
      <c r="AP265" s="14">
        <v>0</v>
      </c>
      <c r="AQ265" s="14">
        <v>20</v>
      </c>
      <c r="AR265" s="3">
        <f t="shared" si="28"/>
        <v>0</v>
      </c>
      <c r="AZ265" s="1">
        <f t="shared" si="32"/>
        <v>0</v>
      </c>
    </row>
    <row r="266" spans="1:52" ht="15.75" customHeight="1" x14ac:dyDescent="0.3">
      <c r="A266" s="1" t="s">
        <v>945</v>
      </c>
      <c r="B266" s="2" t="s">
        <v>946</v>
      </c>
      <c r="C266" s="2">
        <v>160000012</v>
      </c>
      <c r="D266" s="1" t="s">
        <v>857</v>
      </c>
      <c r="E266" s="1" t="s">
        <v>858</v>
      </c>
      <c r="F266" s="1" t="s">
        <v>67</v>
      </c>
      <c r="G266" s="1" t="s">
        <v>86</v>
      </c>
      <c r="H266" s="1" t="s">
        <v>87</v>
      </c>
      <c r="I266" s="1" t="s">
        <v>70</v>
      </c>
      <c r="J266" s="1" t="s">
        <v>440</v>
      </c>
      <c r="K266" s="1">
        <v>6</v>
      </c>
      <c r="L266" s="1" t="s">
        <v>776</v>
      </c>
      <c r="M266" s="1" t="s">
        <v>859</v>
      </c>
      <c r="N266" s="1" t="s">
        <v>776</v>
      </c>
      <c r="O266" s="1" t="s">
        <v>108</v>
      </c>
      <c r="P266" s="1" t="s">
        <v>11</v>
      </c>
      <c r="Q266" s="1" t="s">
        <v>90</v>
      </c>
      <c r="R266" s="1" t="s">
        <v>947</v>
      </c>
      <c r="S266" s="2"/>
      <c r="U266" s="1">
        <v>23</v>
      </c>
      <c r="V266" s="1">
        <v>27</v>
      </c>
      <c r="AE266" s="1" t="s">
        <v>175</v>
      </c>
      <c r="AF266" s="12">
        <v>46</v>
      </c>
      <c r="AG266" s="12">
        <v>6</v>
      </c>
      <c r="AH266" s="12">
        <v>40</v>
      </c>
      <c r="AI266" s="12">
        <v>46.565217391304351</v>
      </c>
      <c r="AJ266" s="12">
        <v>65</v>
      </c>
      <c r="AK266" s="12">
        <v>33</v>
      </c>
      <c r="AL266" s="12">
        <v>8.7525289651062579</v>
      </c>
      <c r="AM266" s="14"/>
      <c r="AN266" s="14"/>
      <c r="AO266" s="3"/>
      <c r="AP266" s="14">
        <v>0</v>
      </c>
      <c r="AQ266" s="14">
        <v>46</v>
      </c>
      <c r="AR266" s="3">
        <f t="shared" si="28"/>
        <v>0</v>
      </c>
      <c r="AZ266" s="1">
        <f t="shared" si="32"/>
        <v>0</v>
      </c>
    </row>
    <row r="267" spans="1:52" ht="15.75" customHeight="1" x14ac:dyDescent="0.3">
      <c r="A267" s="1" t="s">
        <v>948</v>
      </c>
      <c r="B267" s="2" t="s">
        <v>949</v>
      </c>
      <c r="C267" s="2">
        <v>160000021</v>
      </c>
      <c r="D267" s="1" t="s">
        <v>891</v>
      </c>
      <c r="E267" s="1" t="s">
        <v>892</v>
      </c>
      <c r="F267" s="1" t="s">
        <v>67</v>
      </c>
      <c r="G267" s="1" t="s">
        <v>86</v>
      </c>
      <c r="H267" s="1" t="s">
        <v>87</v>
      </c>
      <c r="I267" s="1" t="s">
        <v>70</v>
      </c>
      <c r="J267" s="1" t="s">
        <v>511</v>
      </c>
      <c r="K267" s="1">
        <v>6</v>
      </c>
      <c r="L267" s="1" t="s">
        <v>74</v>
      </c>
      <c r="M267" s="1" t="s">
        <v>73</v>
      </c>
      <c r="N267" s="1" t="s">
        <v>74</v>
      </c>
      <c r="O267" s="1" t="s">
        <v>74</v>
      </c>
      <c r="P267" s="1" t="s">
        <v>11</v>
      </c>
      <c r="Q267" s="1" t="s">
        <v>80</v>
      </c>
      <c r="R267" s="1" t="s">
        <v>743</v>
      </c>
      <c r="S267" s="2"/>
      <c r="U267" s="1">
        <v>13</v>
      </c>
      <c r="AE267" s="1" t="s">
        <v>175</v>
      </c>
      <c r="AF267" s="12">
        <v>26</v>
      </c>
      <c r="AG267" s="12">
        <v>12</v>
      </c>
      <c r="AH267" s="12">
        <v>14</v>
      </c>
      <c r="AI267" s="12">
        <v>47</v>
      </c>
      <c r="AJ267" s="12">
        <v>63</v>
      </c>
      <c r="AK267" s="12">
        <v>30</v>
      </c>
      <c r="AL267" s="12">
        <v>9.3380940239430021</v>
      </c>
      <c r="AM267" s="14">
        <v>16</v>
      </c>
      <c r="AN267" s="14">
        <v>16</v>
      </c>
      <c r="AO267" s="3">
        <f t="shared" ref="AO267:AO268" si="34">AN267/AM267</f>
        <v>1</v>
      </c>
      <c r="AP267" s="14">
        <v>0</v>
      </c>
      <c r="AQ267" s="14">
        <v>26</v>
      </c>
      <c r="AR267" s="3">
        <f t="shared" si="28"/>
        <v>0</v>
      </c>
      <c r="AZ267" s="1">
        <f t="shared" si="32"/>
        <v>0</v>
      </c>
    </row>
    <row r="268" spans="1:52" ht="15.75" customHeight="1" x14ac:dyDescent="0.3">
      <c r="A268" s="1" t="s">
        <v>950</v>
      </c>
      <c r="B268" s="2" t="s">
        <v>951</v>
      </c>
      <c r="C268" s="2">
        <v>260000018</v>
      </c>
      <c r="D268" s="1" t="s">
        <v>952</v>
      </c>
      <c r="E268" s="1" t="s">
        <v>953</v>
      </c>
      <c r="F268" s="1" t="s">
        <v>67</v>
      </c>
      <c r="G268" s="1" t="s">
        <v>68</v>
      </c>
      <c r="H268" s="1" t="s">
        <v>69</v>
      </c>
      <c r="I268" s="1" t="s">
        <v>70</v>
      </c>
      <c r="J268" s="1" t="s">
        <v>619</v>
      </c>
      <c r="K268" s="1">
        <v>6</v>
      </c>
      <c r="L268" s="1" t="s">
        <v>731</v>
      </c>
      <c r="M268" s="1" t="s">
        <v>73</v>
      </c>
      <c r="N268" s="1" t="s">
        <v>74</v>
      </c>
      <c r="O268" s="1" t="s">
        <v>74</v>
      </c>
      <c r="P268" s="1" t="s">
        <v>11</v>
      </c>
      <c r="Q268" s="1" t="s">
        <v>80</v>
      </c>
      <c r="R268" s="1" t="s">
        <v>954</v>
      </c>
      <c r="S268" s="2"/>
      <c r="AC268" s="1">
        <v>16</v>
      </c>
      <c r="AD268" s="1">
        <v>14</v>
      </c>
      <c r="AE268" s="1" t="s">
        <v>93</v>
      </c>
      <c r="AF268" s="12">
        <v>32</v>
      </c>
      <c r="AG268" s="12">
        <v>16</v>
      </c>
      <c r="AH268" s="12">
        <v>16</v>
      </c>
      <c r="AI268" s="13">
        <v>47.733333333333334</v>
      </c>
      <c r="AJ268" s="13">
        <v>62</v>
      </c>
      <c r="AK268" s="13">
        <v>62</v>
      </c>
      <c r="AL268" s="13">
        <v>35</v>
      </c>
      <c r="AM268" s="14">
        <v>20</v>
      </c>
      <c r="AN268" s="14">
        <v>16</v>
      </c>
      <c r="AO268" s="3">
        <f t="shared" si="34"/>
        <v>0.8</v>
      </c>
      <c r="AP268" s="14">
        <v>0</v>
      </c>
      <c r="AQ268" s="14">
        <v>30</v>
      </c>
      <c r="AR268" s="3">
        <f t="shared" si="28"/>
        <v>0</v>
      </c>
      <c r="AZ268" s="1">
        <f t="shared" si="32"/>
        <v>0</v>
      </c>
    </row>
    <row r="269" spans="1:52" ht="15.75" customHeight="1" x14ac:dyDescent="0.3">
      <c r="A269" s="1" t="s">
        <v>955</v>
      </c>
      <c r="B269" s="2" t="s">
        <v>956</v>
      </c>
      <c r="C269" s="2">
        <v>260000030</v>
      </c>
      <c r="D269" s="1" t="s">
        <v>942</v>
      </c>
      <c r="E269" s="1" t="s">
        <v>943</v>
      </c>
      <c r="F269" s="1" t="s">
        <v>67</v>
      </c>
      <c r="G269" s="1" t="s">
        <v>68</v>
      </c>
      <c r="H269" s="1" t="s">
        <v>69</v>
      </c>
      <c r="I269" s="1" t="s">
        <v>70</v>
      </c>
      <c r="J269" s="1" t="s">
        <v>619</v>
      </c>
      <c r="K269" s="1">
        <v>6</v>
      </c>
      <c r="L269" s="1" t="s">
        <v>731</v>
      </c>
      <c r="M269" s="1" t="s">
        <v>73</v>
      </c>
      <c r="N269" s="1" t="s">
        <v>74</v>
      </c>
      <c r="O269" s="1" t="s">
        <v>74</v>
      </c>
      <c r="P269" s="1" t="s">
        <v>11</v>
      </c>
      <c r="Q269" s="1" t="s">
        <v>80</v>
      </c>
      <c r="R269" s="1" t="s">
        <v>957</v>
      </c>
      <c r="S269" s="2"/>
      <c r="T269" s="1">
        <v>47</v>
      </c>
      <c r="W269" s="1">
        <v>49</v>
      </c>
      <c r="X269" s="1">
        <v>44</v>
      </c>
      <c r="Z269" s="1">
        <v>38</v>
      </c>
      <c r="AA269" s="1">
        <v>33</v>
      </c>
      <c r="AB269" s="1">
        <v>21</v>
      </c>
      <c r="AC269" s="1">
        <v>20</v>
      </c>
      <c r="AD269" s="1">
        <v>16</v>
      </c>
      <c r="AE269" s="1" t="s">
        <v>77</v>
      </c>
      <c r="AF269" s="12">
        <v>21</v>
      </c>
      <c r="AG269" s="12">
        <v>8</v>
      </c>
      <c r="AH269" s="12">
        <v>13</v>
      </c>
      <c r="AI269" s="13">
        <v>48.285714285714285</v>
      </c>
      <c r="AJ269" s="13">
        <v>63</v>
      </c>
      <c r="AK269" s="13">
        <v>37</v>
      </c>
      <c r="AL269" s="13">
        <v>8.1617575138131784</v>
      </c>
      <c r="AM269" s="14"/>
      <c r="AN269" s="14"/>
      <c r="AO269" s="3"/>
      <c r="AP269" s="14">
        <v>1</v>
      </c>
      <c r="AQ269" s="14">
        <v>20</v>
      </c>
      <c r="AR269" s="3">
        <f t="shared" si="28"/>
        <v>0.05</v>
      </c>
      <c r="AS269" s="1">
        <v>0</v>
      </c>
      <c r="AT269" s="1">
        <v>9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f t="shared" si="32"/>
        <v>9</v>
      </c>
    </row>
    <row r="270" spans="1:52" ht="15.75" customHeight="1" x14ac:dyDescent="0.3">
      <c r="A270" s="1" t="s">
        <v>958</v>
      </c>
      <c r="B270" s="2" t="s">
        <v>959</v>
      </c>
      <c r="C270" s="2">
        <v>160000021</v>
      </c>
      <c r="D270" s="1" t="s">
        <v>891</v>
      </c>
      <c r="E270" s="1" t="s">
        <v>892</v>
      </c>
      <c r="F270" s="1" t="s">
        <v>67</v>
      </c>
      <c r="G270" s="1" t="s">
        <v>86</v>
      </c>
      <c r="H270" s="1" t="s">
        <v>87</v>
      </c>
      <c r="I270" s="1" t="s">
        <v>70</v>
      </c>
      <c r="J270" s="1" t="s">
        <v>511</v>
      </c>
      <c r="K270" s="1">
        <v>6</v>
      </c>
      <c r="L270" s="1" t="s">
        <v>74</v>
      </c>
      <c r="M270" s="1" t="s">
        <v>73</v>
      </c>
      <c r="N270" s="1" t="s">
        <v>74</v>
      </c>
      <c r="O270" s="1" t="s">
        <v>74</v>
      </c>
      <c r="P270" s="1" t="s">
        <v>11</v>
      </c>
      <c r="Q270" s="1" t="s">
        <v>80</v>
      </c>
      <c r="R270" s="1" t="s">
        <v>225</v>
      </c>
      <c r="S270" s="2"/>
      <c r="U270" s="1">
        <v>8</v>
      </c>
      <c r="AE270" s="1" t="s">
        <v>175</v>
      </c>
      <c r="AF270" s="12">
        <v>16</v>
      </c>
      <c r="AG270" s="12">
        <v>16</v>
      </c>
      <c r="AH270" s="12">
        <v>0</v>
      </c>
      <c r="AI270" s="12">
        <v>48.75</v>
      </c>
      <c r="AJ270" s="12">
        <v>65</v>
      </c>
      <c r="AK270" s="12">
        <v>37</v>
      </c>
      <c r="AL270" s="12">
        <v>8.8656641037206008</v>
      </c>
      <c r="AM270" s="14">
        <v>5</v>
      </c>
      <c r="AN270" s="14"/>
      <c r="AO270" s="3">
        <f t="shared" ref="AO270:AO272" si="35">AN270/AM270</f>
        <v>0</v>
      </c>
      <c r="AP270" s="14">
        <v>0</v>
      </c>
      <c r="AQ270" s="14">
        <v>16</v>
      </c>
      <c r="AR270" s="3">
        <f t="shared" si="28"/>
        <v>0</v>
      </c>
      <c r="AZ270" s="1">
        <f t="shared" si="32"/>
        <v>0</v>
      </c>
    </row>
    <row r="271" spans="1:52" ht="15.75" customHeight="1" x14ac:dyDescent="0.3">
      <c r="A271" s="1" t="s">
        <v>960</v>
      </c>
      <c r="B271" s="2" t="s">
        <v>961</v>
      </c>
      <c r="C271" s="2">
        <v>260000057</v>
      </c>
      <c r="D271" s="1" t="s">
        <v>923</v>
      </c>
      <c r="E271" s="1" t="s">
        <v>924</v>
      </c>
      <c r="F271" s="1" t="s">
        <v>67</v>
      </c>
      <c r="G271" s="1" t="s">
        <v>68</v>
      </c>
      <c r="H271" s="1" t="s">
        <v>439</v>
      </c>
      <c r="I271" s="1" t="s">
        <v>70</v>
      </c>
      <c r="J271" s="1" t="s">
        <v>98</v>
      </c>
      <c r="K271" s="1">
        <v>6</v>
      </c>
      <c r="L271" s="1" t="s">
        <v>132</v>
      </c>
      <c r="M271" s="1" t="s">
        <v>73</v>
      </c>
      <c r="N271" s="1" t="s">
        <v>74</v>
      </c>
      <c r="O271" s="1" t="s">
        <v>74</v>
      </c>
      <c r="P271" s="1" t="s">
        <v>11</v>
      </c>
      <c r="Q271" s="1" t="s">
        <v>80</v>
      </c>
      <c r="R271" s="1" t="s">
        <v>315</v>
      </c>
      <c r="S271" s="2"/>
      <c r="T271" s="1">
        <v>47</v>
      </c>
      <c r="U271" s="1">
        <v>68</v>
      </c>
      <c r="V271" s="1">
        <v>103</v>
      </c>
      <c r="W271" s="1">
        <v>48</v>
      </c>
      <c r="X271" s="1">
        <v>10</v>
      </c>
      <c r="Y271" s="1">
        <v>156</v>
      </c>
      <c r="Z271" s="1">
        <v>35</v>
      </c>
      <c r="AA271" s="1">
        <v>32</v>
      </c>
      <c r="AB271" s="1">
        <v>28</v>
      </c>
      <c r="AC271" s="1">
        <v>64</v>
      </c>
      <c r="AD271" s="1">
        <v>155</v>
      </c>
      <c r="AE271" s="1" t="s">
        <v>77</v>
      </c>
      <c r="AF271" s="12">
        <v>28</v>
      </c>
      <c r="AG271" s="12">
        <v>16</v>
      </c>
      <c r="AH271" s="12">
        <v>12</v>
      </c>
      <c r="AI271" s="13">
        <v>50.642857142857146</v>
      </c>
      <c r="AJ271" s="13">
        <v>63</v>
      </c>
      <c r="AK271" s="13">
        <v>35</v>
      </c>
      <c r="AL271" s="13">
        <v>8.4774834041550697</v>
      </c>
      <c r="AM271" s="14">
        <v>103</v>
      </c>
      <c r="AN271" s="14">
        <v>98</v>
      </c>
      <c r="AO271" s="3">
        <f t="shared" si="35"/>
        <v>0.95145631067961167</v>
      </c>
      <c r="AP271" s="14">
        <v>0</v>
      </c>
      <c r="AQ271" s="14">
        <v>28</v>
      </c>
      <c r="AR271" s="3">
        <f t="shared" si="28"/>
        <v>0</v>
      </c>
      <c r="AS271" s="1">
        <v>10</v>
      </c>
      <c r="AT271" s="1">
        <v>18</v>
      </c>
      <c r="AU271" s="1">
        <v>23</v>
      </c>
      <c r="AV271" s="1">
        <v>0</v>
      </c>
      <c r="AW271" s="1">
        <v>0</v>
      </c>
      <c r="AX271" s="1">
        <v>43</v>
      </c>
      <c r="AY271" s="1">
        <v>0</v>
      </c>
      <c r="AZ271" s="1">
        <f t="shared" si="32"/>
        <v>94</v>
      </c>
    </row>
    <row r="272" spans="1:52" ht="15.75" customHeight="1" x14ac:dyDescent="0.3">
      <c r="A272" s="1" t="s">
        <v>962</v>
      </c>
      <c r="B272" s="2" t="s">
        <v>963</v>
      </c>
      <c r="C272" s="2">
        <v>260000018</v>
      </c>
      <c r="D272" s="1" t="s">
        <v>952</v>
      </c>
      <c r="E272" s="1" t="s">
        <v>953</v>
      </c>
      <c r="F272" s="1" t="s">
        <v>67</v>
      </c>
      <c r="G272" s="1" t="s">
        <v>68</v>
      </c>
      <c r="H272" s="1" t="s">
        <v>69</v>
      </c>
      <c r="I272" s="1" t="s">
        <v>70</v>
      </c>
      <c r="J272" s="1" t="s">
        <v>619</v>
      </c>
      <c r="K272" s="1">
        <v>6</v>
      </c>
      <c r="L272" s="1" t="s">
        <v>731</v>
      </c>
      <c r="M272" s="1" t="s">
        <v>73</v>
      </c>
      <c r="N272" s="1" t="s">
        <v>74</v>
      </c>
      <c r="O272" s="1" t="s">
        <v>74</v>
      </c>
      <c r="P272" s="1" t="s">
        <v>11</v>
      </c>
      <c r="Q272" s="1" t="s">
        <v>80</v>
      </c>
      <c r="R272" s="1" t="s">
        <v>192</v>
      </c>
      <c r="S272" s="2"/>
      <c r="AA272" s="1">
        <v>20</v>
      </c>
      <c r="AB272" s="1">
        <v>20</v>
      </c>
      <c r="AC272" s="1">
        <v>40</v>
      </c>
      <c r="AD272" s="1">
        <v>41</v>
      </c>
      <c r="AE272" s="1" t="s">
        <v>77</v>
      </c>
      <c r="AF272" s="12">
        <v>20</v>
      </c>
      <c r="AG272" s="12">
        <v>5</v>
      </c>
      <c r="AH272" s="12">
        <v>15</v>
      </c>
      <c r="AI272" s="13">
        <v>51</v>
      </c>
      <c r="AJ272" s="13">
        <v>64</v>
      </c>
      <c r="AK272" s="13">
        <v>35</v>
      </c>
      <c r="AL272" s="13">
        <v>8.130873945100312</v>
      </c>
      <c r="AM272" s="14">
        <v>25</v>
      </c>
      <c r="AN272" s="14">
        <v>21</v>
      </c>
      <c r="AO272" s="3">
        <f t="shared" si="35"/>
        <v>0.84</v>
      </c>
      <c r="AP272" s="14">
        <v>1</v>
      </c>
      <c r="AQ272" s="14">
        <v>18</v>
      </c>
      <c r="AR272" s="3">
        <f t="shared" si="28"/>
        <v>5.5555555555555552E-2</v>
      </c>
      <c r="AZ272" s="1">
        <f t="shared" si="32"/>
        <v>0</v>
      </c>
    </row>
    <row r="273" spans="1:52" ht="15.75" customHeight="1" x14ac:dyDescent="0.3">
      <c r="A273" s="1" t="s">
        <v>964</v>
      </c>
      <c r="B273" s="2" t="s">
        <v>965</v>
      </c>
      <c r="C273" s="2">
        <v>260000057</v>
      </c>
      <c r="D273" s="1" t="s">
        <v>923</v>
      </c>
      <c r="E273" s="1" t="s">
        <v>924</v>
      </c>
      <c r="F273" s="1" t="s">
        <v>67</v>
      </c>
      <c r="G273" s="1" t="s">
        <v>68</v>
      </c>
      <c r="H273" s="1" t="s">
        <v>439</v>
      </c>
      <c r="I273" s="1" t="s">
        <v>70</v>
      </c>
      <c r="J273" s="1" t="s">
        <v>98</v>
      </c>
      <c r="K273" s="1">
        <v>6</v>
      </c>
      <c r="L273" s="1" t="s">
        <v>132</v>
      </c>
      <c r="M273" s="1" t="s">
        <v>73</v>
      </c>
      <c r="N273" s="1" t="s">
        <v>74</v>
      </c>
      <c r="O273" s="1" t="s">
        <v>74</v>
      </c>
      <c r="P273" s="1" t="s">
        <v>11</v>
      </c>
      <c r="Q273" s="1" t="s">
        <v>75</v>
      </c>
      <c r="R273" s="1" t="s">
        <v>966</v>
      </c>
      <c r="S273" s="2"/>
      <c r="T273" s="1">
        <v>20</v>
      </c>
      <c r="U273" s="1">
        <v>20</v>
      </c>
      <c r="V273" s="1">
        <v>30</v>
      </c>
      <c r="X273" s="1">
        <v>9</v>
      </c>
      <c r="Y273" s="1">
        <v>25</v>
      </c>
      <c r="Z273" s="1">
        <v>7</v>
      </c>
      <c r="AA273" s="1">
        <v>7</v>
      </c>
      <c r="AB273" s="1">
        <v>7</v>
      </c>
      <c r="AE273" s="1" t="s">
        <v>77</v>
      </c>
      <c r="AF273" s="12">
        <v>7</v>
      </c>
      <c r="AG273" s="12">
        <v>4</v>
      </c>
      <c r="AH273" s="12">
        <v>3</v>
      </c>
      <c r="AI273" s="13">
        <v>51</v>
      </c>
      <c r="AJ273" s="13">
        <v>61</v>
      </c>
      <c r="AK273" s="13">
        <v>38</v>
      </c>
      <c r="AL273" s="13">
        <v>7.0710678118654755</v>
      </c>
      <c r="AM273" s="14"/>
      <c r="AN273" s="14"/>
      <c r="AO273" s="3"/>
      <c r="AP273" s="14">
        <v>1</v>
      </c>
      <c r="AQ273" s="14">
        <v>6</v>
      </c>
      <c r="AR273" s="3">
        <f t="shared" si="28"/>
        <v>0.16666666666666666</v>
      </c>
      <c r="AS273" s="1">
        <v>0</v>
      </c>
      <c r="AT273" s="1">
        <v>18</v>
      </c>
      <c r="AU273" s="1">
        <v>0</v>
      </c>
      <c r="AV273" s="1">
        <v>0</v>
      </c>
      <c r="AW273" s="1">
        <v>0</v>
      </c>
      <c r="AX273" s="1">
        <v>7</v>
      </c>
      <c r="AY273" s="1">
        <v>0</v>
      </c>
      <c r="AZ273" s="1">
        <f t="shared" si="32"/>
        <v>25</v>
      </c>
    </row>
    <row r="274" spans="1:52" ht="15.75" customHeight="1" x14ac:dyDescent="0.3">
      <c r="A274" s="1" t="s">
        <v>967</v>
      </c>
      <c r="B274" s="2" t="s">
        <v>968</v>
      </c>
      <c r="C274" s="2">
        <v>260000079</v>
      </c>
      <c r="D274" s="1" t="s">
        <v>969</v>
      </c>
      <c r="E274" s="1" t="s">
        <v>970</v>
      </c>
      <c r="F274" s="1" t="s">
        <v>67</v>
      </c>
      <c r="G274" s="1" t="s">
        <v>68</v>
      </c>
      <c r="H274" s="1" t="s">
        <v>69</v>
      </c>
      <c r="I274" s="1" t="s">
        <v>70</v>
      </c>
      <c r="J274" s="1" t="s">
        <v>440</v>
      </c>
      <c r="K274" s="1">
        <v>6</v>
      </c>
      <c r="L274" s="1" t="s">
        <v>731</v>
      </c>
      <c r="M274" s="1" t="s">
        <v>73</v>
      </c>
      <c r="N274" s="1" t="s">
        <v>74</v>
      </c>
      <c r="O274" s="1" t="s">
        <v>74</v>
      </c>
      <c r="P274" s="1" t="s">
        <v>11</v>
      </c>
      <c r="Q274" s="1" t="s">
        <v>80</v>
      </c>
      <c r="R274" s="1" t="s">
        <v>971</v>
      </c>
      <c r="S274" s="2"/>
      <c r="T274" s="1">
        <v>24</v>
      </c>
      <c r="U274" s="1">
        <v>27</v>
      </c>
      <c r="V274" s="1">
        <v>28</v>
      </c>
      <c r="W274" s="1">
        <v>29</v>
      </c>
      <c r="X274" s="1">
        <v>27</v>
      </c>
      <c r="Y274" s="1">
        <v>23</v>
      </c>
      <c r="Z274" s="1">
        <v>21</v>
      </c>
      <c r="AA274" s="1">
        <v>10</v>
      </c>
      <c r="AB274" s="1">
        <v>7</v>
      </c>
      <c r="AC274" s="1">
        <v>6</v>
      </c>
      <c r="AD274" s="1">
        <v>7</v>
      </c>
      <c r="AE274" s="1" t="s">
        <v>77</v>
      </c>
      <c r="AF274" s="12">
        <v>7</v>
      </c>
      <c r="AG274" s="12">
        <v>0</v>
      </c>
      <c r="AH274" s="12">
        <v>7</v>
      </c>
      <c r="AI274" s="13">
        <v>51.857142857142854</v>
      </c>
      <c r="AJ274" s="13">
        <v>67</v>
      </c>
      <c r="AK274" s="13">
        <v>37</v>
      </c>
      <c r="AL274" s="13">
        <v>14.076322571710868</v>
      </c>
      <c r="AM274" s="14">
        <v>1</v>
      </c>
      <c r="AN274" s="14">
        <v>1</v>
      </c>
      <c r="AO274" s="3">
        <f t="shared" ref="AO274:AO275" si="36">AN274/AM274</f>
        <v>1</v>
      </c>
      <c r="AP274" s="14">
        <v>0</v>
      </c>
      <c r="AQ274" s="14">
        <v>7</v>
      </c>
      <c r="AR274" s="3">
        <f t="shared" si="28"/>
        <v>0</v>
      </c>
      <c r="AS274" s="1">
        <v>0</v>
      </c>
      <c r="AT274" s="1">
        <v>1</v>
      </c>
      <c r="AU274" s="1">
        <v>7</v>
      </c>
      <c r="AV274" s="1">
        <v>1</v>
      </c>
      <c r="AW274" s="1">
        <v>0</v>
      </c>
      <c r="AX274" s="1">
        <v>1</v>
      </c>
      <c r="AY274" s="1">
        <v>0</v>
      </c>
      <c r="AZ274" s="1">
        <f t="shared" si="32"/>
        <v>10</v>
      </c>
    </row>
    <row r="275" spans="1:52" ht="15.75" customHeight="1" x14ac:dyDescent="0.3">
      <c r="A275" s="1" t="s">
        <v>972</v>
      </c>
      <c r="B275" s="2" t="s">
        <v>973</v>
      </c>
      <c r="C275" s="2">
        <v>160000021</v>
      </c>
      <c r="D275" s="1" t="s">
        <v>891</v>
      </c>
      <c r="E275" s="1" t="s">
        <v>892</v>
      </c>
      <c r="F275" s="1" t="s">
        <v>67</v>
      </c>
      <c r="G275" s="1" t="s">
        <v>86</v>
      </c>
      <c r="H275" s="1" t="s">
        <v>87</v>
      </c>
      <c r="I275" s="1" t="s">
        <v>70</v>
      </c>
      <c r="J275" s="1" t="s">
        <v>511</v>
      </c>
      <c r="K275" s="1">
        <v>6</v>
      </c>
      <c r="L275" s="1" t="s">
        <v>74</v>
      </c>
      <c r="M275" s="1" t="s">
        <v>73</v>
      </c>
      <c r="N275" s="1" t="s">
        <v>74</v>
      </c>
      <c r="O275" s="1" t="s">
        <v>74</v>
      </c>
      <c r="P275" s="1" t="s">
        <v>11</v>
      </c>
      <c r="Q275" s="1" t="s">
        <v>90</v>
      </c>
      <c r="R275" s="1" t="s">
        <v>974</v>
      </c>
      <c r="S275" s="2"/>
      <c r="U275" s="1">
        <v>20</v>
      </c>
      <c r="AE275" s="1" t="s">
        <v>175</v>
      </c>
      <c r="AF275" s="12">
        <v>40</v>
      </c>
      <c r="AG275" s="12">
        <v>12</v>
      </c>
      <c r="AH275" s="12">
        <v>28</v>
      </c>
      <c r="AI275" s="12">
        <v>54.1</v>
      </c>
      <c r="AJ275" s="12">
        <v>70</v>
      </c>
      <c r="AK275" s="12">
        <v>40</v>
      </c>
      <c r="AL275" s="12">
        <v>9.4727679868839534</v>
      </c>
      <c r="AM275" s="14">
        <v>7</v>
      </c>
      <c r="AN275" s="14"/>
      <c r="AO275" s="3">
        <f t="shared" si="36"/>
        <v>0</v>
      </c>
      <c r="AP275" s="14">
        <v>0</v>
      </c>
      <c r="AQ275" s="14">
        <v>40</v>
      </c>
      <c r="AR275" s="3">
        <f t="shared" si="28"/>
        <v>0</v>
      </c>
      <c r="AZ275" s="1">
        <f t="shared" si="32"/>
        <v>0</v>
      </c>
    </row>
    <row r="276" spans="1:52" ht="15.75" customHeight="1" x14ac:dyDescent="0.3">
      <c r="B276" s="1" t="s">
        <v>975</v>
      </c>
      <c r="C276" s="2">
        <v>160000033</v>
      </c>
      <c r="D276" s="1" t="s">
        <v>976</v>
      </c>
      <c r="E276" s="1" t="s">
        <v>977</v>
      </c>
      <c r="F276" s="2" t="s">
        <v>67</v>
      </c>
      <c r="G276" s="2" t="s">
        <v>86</v>
      </c>
      <c r="H276" s="2" t="s">
        <v>87</v>
      </c>
      <c r="I276" s="2" t="s">
        <v>409</v>
      </c>
      <c r="J276" s="1" t="s">
        <v>460</v>
      </c>
      <c r="K276" s="1">
        <v>6</v>
      </c>
      <c r="L276" s="1" t="s">
        <v>978</v>
      </c>
      <c r="M276" s="1" t="s">
        <v>979</v>
      </c>
      <c r="N276" s="1" t="s">
        <v>463</v>
      </c>
      <c r="O276" s="1" t="s">
        <v>150</v>
      </c>
      <c r="P276" s="1" t="s">
        <v>11</v>
      </c>
      <c r="Q276" s="1" t="s">
        <v>80</v>
      </c>
      <c r="R276" s="1" t="s">
        <v>192</v>
      </c>
      <c r="S276" s="2"/>
      <c r="AE276" s="1" t="s">
        <v>285</v>
      </c>
      <c r="AM276" s="14">
        <v>19</v>
      </c>
      <c r="AN276" s="14">
        <v>19</v>
      </c>
      <c r="AO276" s="14">
        <v>1</v>
      </c>
      <c r="AP276" s="14"/>
      <c r="AQ276" s="14"/>
      <c r="AZ276" s="1">
        <f t="shared" si="32"/>
        <v>0</v>
      </c>
    </row>
    <row r="277" spans="1:52" ht="15.75" customHeight="1" x14ac:dyDescent="0.3">
      <c r="A277" s="1" t="s">
        <v>908</v>
      </c>
      <c r="B277" s="2" t="s">
        <v>980</v>
      </c>
      <c r="C277" s="2" t="s">
        <v>910</v>
      </c>
      <c r="D277" s="2" t="s">
        <v>911</v>
      </c>
      <c r="E277" s="1" t="s">
        <v>912</v>
      </c>
      <c r="F277" s="2" t="s">
        <v>67</v>
      </c>
      <c r="G277" s="2" t="s">
        <v>68</v>
      </c>
      <c r="H277" s="2" t="s">
        <v>439</v>
      </c>
      <c r="I277" s="2" t="s">
        <v>409</v>
      </c>
      <c r="J277" s="1" t="s">
        <v>440</v>
      </c>
      <c r="K277" s="1">
        <v>6</v>
      </c>
      <c r="L277" s="1" t="s">
        <v>512</v>
      </c>
      <c r="M277" s="1" t="s">
        <v>490</v>
      </c>
      <c r="N277" s="1" t="s">
        <v>491</v>
      </c>
      <c r="O277" s="1" t="s">
        <v>108</v>
      </c>
      <c r="P277" s="1" t="s">
        <v>11</v>
      </c>
      <c r="Q277" s="1" t="s">
        <v>80</v>
      </c>
      <c r="R277" s="2" t="s">
        <v>192</v>
      </c>
      <c r="S277" s="2"/>
      <c r="AF277" s="12"/>
      <c r="AG277" s="12"/>
      <c r="AH277" s="12"/>
      <c r="AI277" s="12"/>
      <c r="AJ277" s="12"/>
      <c r="AK277" s="12"/>
      <c r="AL277" s="12"/>
      <c r="AM277" s="14">
        <v>63</v>
      </c>
      <c r="AN277" s="14"/>
      <c r="AO277" s="3">
        <f t="shared" ref="AO277:AO284" si="37">AN277/AM277</f>
        <v>0</v>
      </c>
      <c r="AP277" s="14"/>
      <c r="AQ277" s="14"/>
      <c r="AR277" s="3"/>
      <c r="AZ277" s="1">
        <f t="shared" si="32"/>
        <v>0</v>
      </c>
    </row>
    <row r="278" spans="1:52" ht="15.75" customHeight="1" x14ac:dyDescent="0.3">
      <c r="A278" s="1" t="s">
        <v>981</v>
      </c>
      <c r="B278" s="2" t="s">
        <v>982</v>
      </c>
      <c r="C278" s="2">
        <v>160000004</v>
      </c>
      <c r="D278" s="2" t="s">
        <v>983</v>
      </c>
      <c r="E278" s="1" t="s">
        <v>984</v>
      </c>
      <c r="F278" s="2" t="s">
        <v>67</v>
      </c>
      <c r="G278" s="2" t="s">
        <v>86</v>
      </c>
      <c r="H278" s="2" t="s">
        <v>87</v>
      </c>
      <c r="I278" s="2" t="s">
        <v>409</v>
      </c>
      <c r="J278" s="1" t="s">
        <v>985</v>
      </c>
      <c r="K278" s="1">
        <v>8</v>
      </c>
      <c r="L278" s="1" t="s">
        <v>986</v>
      </c>
      <c r="M278" s="1" t="s">
        <v>572</v>
      </c>
      <c r="N278" s="1" t="s">
        <v>573</v>
      </c>
      <c r="O278" s="1" t="s">
        <v>150</v>
      </c>
      <c r="P278" s="1" t="s">
        <v>11</v>
      </c>
      <c r="Q278" s="1" t="s">
        <v>80</v>
      </c>
      <c r="R278" s="2" t="s">
        <v>192</v>
      </c>
      <c r="S278" s="2"/>
      <c r="AF278" s="12"/>
      <c r="AG278" s="12"/>
      <c r="AH278" s="12"/>
      <c r="AI278" s="12"/>
      <c r="AJ278" s="12"/>
      <c r="AK278" s="12"/>
      <c r="AL278" s="12"/>
      <c r="AM278" s="14">
        <v>17</v>
      </c>
      <c r="AN278" s="14">
        <v>25</v>
      </c>
      <c r="AO278" s="3">
        <f t="shared" si="37"/>
        <v>1.4705882352941178</v>
      </c>
      <c r="AP278" s="14"/>
      <c r="AQ278" s="14"/>
      <c r="AR278" s="3"/>
      <c r="AZ278" s="1">
        <f t="shared" si="32"/>
        <v>0</v>
      </c>
    </row>
    <row r="279" spans="1:52" ht="15.75" customHeight="1" x14ac:dyDescent="0.3">
      <c r="A279" s="1" t="s">
        <v>987</v>
      </c>
      <c r="B279" s="2" t="s">
        <v>988</v>
      </c>
      <c r="C279" s="2">
        <v>160000005</v>
      </c>
      <c r="D279" s="2" t="s">
        <v>989</v>
      </c>
      <c r="E279" s="1" t="s">
        <v>990</v>
      </c>
      <c r="F279" s="2" t="s">
        <v>67</v>
      </c>
      <c r="G279" s="2" t="s">
        <v>86</v>
      </c>
      <c r="H279" s="2" t="s">
        <v>87</v>
      </c>
      <c r="I279" s="2" t="s">
        <v>409</v>
      </c>
      <c r="J279" s="1" t="s">
        <v>125</v>
      </c>
      <c r="K279" s="1">
        <v>10</v>
      </c>
      <c r="L279" s="1" t="s">
        <v>991</v>
      </c>
      <c r="M279" s="1" t="s">
        <v>992</v>
      </c>
      <c r="N279" s="1" t="s">
        <v>991</v>
      </c>
      <c r="O279" s="1" t="s">
        <v>150</v>
      </c>
      <c r="P279" s="1" t="s">
        <v>11</v>
      </c>
      <c r="Q279" s="1" t="s">
        <v>80</v>
      </c>
      <c r="R279" s="2" t="s">
        <v>993</v>
      </c>
      <c r="S279" s="2"/>
      <c r="AF279" s="12"/>
      <c r="AG279" s="12"/>
      <c r="AH279" s="12"/>
      <c r="AI279" s="12"/>
      <c r="AJ279" s="12"/>
      <c r="AK279" s="12"/>
      <c r="AL279" s="12"/>
      <c r="AM279" s="14">
        <v>58</v>
      </c>
      <c r="AN279" s="14">
        <v>55</v>
      </c>
      <c r="AO279" s="3">
        <f t="shared" si="37"/>
        <v>0.94827586206896552</v>
      </c>
      <c r="AP279" s="14"/>
      <c r="AQ279" s="14"/>
      <c r="AR279" s="3"/>
      <c r="AZ279" s="1">
        <f t="shared" si="32"/>
        <v>0</v>
      </c>
    </row>
    <row r="280" spans="1:52" ht="15.75" customHeight="1" x14ac:dyDescent="0.3">
      <c r="A280" s="1" t="s">
        <v>994</v>
      </c>
      <c r="B280" s="2" t="s">
        <v>995</v>
      </c>
      <c r="C280" s="2">
        <v>160000005</v>
      </c>
      <c r="D280" s="2" t="s">
        <v>989</v>
      </c>
      <c r="E280" s="1" t="s">
        <v>990</v>
      </c>
      <c r="F280" s="2" t="s">
        <v>67</v>
      </c>
      <c r="G280" s="2" t="s">
        <v>86</v>
      </c>
      <c r="H280" s="2" t="s">
        <v>87</v>
      </c>
      <c r="I280" s="2" t="s">
        <v>409</v>
      </c>
      <c r="J280" s="1" t="s">
        <v>125</v>
      </c>
      <c r="K280" s="1">
        <v>10</v>
      </c>
      <c r="L280" s="1" t="s">
        <v>991</v>
      </c>
      <c r="M280" s="1" t="s">
        <v>992</v>
      </c>
      <c r="N280" s="1" t="s">
        <v>991</v>
      </c>
      <c r="O280" s="1" t="s">
        <v>150</v>
      </c>
      <c r="P280" s="1" t="s">
        <v>11</v>
      </c>
      <c r="Q280" s="1" t="s">
        <v>141</v>
      </c>
      <c r="R280" s="2" t="s">
        <v>996</v>
      </c>
      <c r="S280" s="2"/>
      <c r="AF280" s="12"/>
      <c r="AG280" s="12"/>
      <c r="AH280" s="12"/>
      <c r="AI280" s="12"/>
      <c r="AJ280" s="12"/>
      <c r="AK280" s="12"/>
      <c r="AL280" s="12"/>
      <c r="AM280" s="14">
        <v>11</v>
      </c>
      <c r="AN280" s="14">
        <v>11</v>
      </c>
      <c r="AO280" s="3">
        <f t="shared" si="37"/>
        <v>1</v>
      </c>
      <c r="AP280" s="14"/>
      <c r="AQ280" s="14"/>
      <c r="AR280" s="3"/>
      <c r="AZ280" s="1">
        <f t="shared" si="32"/>
        <v>0</v>
      </c>
    </row>
    <row r="281" spans="1:52" ht="15.75" customHeight="1" x14ac:dyDescent="0.3">
      <c r="A281" s="1" t="s">
        <v>997</v>
      </c>
      <c r="B281" s="2" t="s">
        <v>998</v>
      </c>
      <c r="C281" s="2">
        <v>160000004</v>
      </c>
      <c r="D281" s="2" t="s">
        <v>983</v>
      </c>
      <c r="E281" s="1" t="s">
        <v>984</v>
      </c>
      <c r="F281" s="2" t="s">
        <v>67</v>
      </c>
      <c r="G281" s="2" t="s">
        <v>86</v>
      </c>
      <c r="H281" s="2" t="s">
        <v>87</v>
      </c>
      <c r="I281" s="2" t="s">
        <v>409</v>
      </c>
      <c r="J281" s="1" t="s">
        <v>985</v>
      </c>
      <c r="K281" s="1">
        <v>8</v>
      </c>
      <c r="L281" s="1" t="s">
        <v>986</v>
      </c>
      <c r="M281" s="1" t="s">
        <v>572</v>
      </c>
      <c r="N281" s="1" t="s">
        <v>573</v>
      </c>
      <c r="O281" s="1" t="s">
        <v>150</v>
      </c>
      <c r="P281" s="1" t="s">
        <v>11</v>
      </c>
      <c r="Q281" s="1" t="s">
        <v>195</v>
      </c>
      <c r="R281" s="2" t="s">
        <v>999</v>
      </c>
      <c r="S281" s="2"/>
      <c r="AF281" s="12"/>
      <c r="AG281" s="12"/>
      <c r="AH281" s="12"/>
      <c r="AI281" s="12"/>
      <c r="AJ281" s="12"/>
      <c r="AK281" s="12"/>
      <c r="AL281" s="12"/>
      <c r="AM281" s="14">
        <v>4</v>
      </c>
      <c r="AN281" s="14">
        <v>6</v>
      </c>
      <c r="AO281" s="3">
        <f t="shared" si="37"/>
        <v>1.5</v>
      </c>
      <c r="AP281" s="14"/>
      <c r="AQ281" s="14"/>
      <c r="AR281" s="3"/>
      <c r="AZ281" s="1">
        <f t="shared" si="32"/>
        <v>0</v>
      </c>
    </row>
    <row r="282" spans="1:52" ht="15.75" customHeight="1" x14ac:dyDescent="0.3">
      <c r="A282" s="1" t="s">
        <v>1000</v>
      </c>
      <c r="B282" s="2" t="s">
        <v>1001</v>
      </c>
      <c r="C282" s="2">
        <v>160000004</v>
      </c>
      <c r="D282" s="2" t="s">
        <v>983</v>
      </c>
      <c r="E282" s="1" t="s">
        <v>984</v>
      </c>
      <c r="F282" s="2" t="s">
        <v>67</v>
      </c>
      <c r="G282" s="2" t="s">
        <v>86</v>
      </c>
      <c r="H282" s="2" t="s">
        <v>87</v>
      </c>
      <c r="I282" s="2" t="s">
        <v>409</v>
      </c>
      <c r="J282" s="1" t="s">
        <v>985</v>
      </c>
      <c r="K282" s="1">
        <v>8</v>
      </c>
      <c r="L282" s="1" t="s">
        <v>986</v>
      </c>
      <c r="M282" s="1" t="s">
        <v>572</v>
      </c>
      <c r="N282" s="1" t="s">
        <v>573</v>
      </c>
      <c r="O282" s="1" t="s">
        <v>150</v>
      </c>
      <c r="P282" s="1" t="s">
        <v>11</v>
      </c>
      <c r="Q282" s="1" t="s">
        <v>90</v>
      </c>
      <c r="R282" s="2" t="s">
        <v>417</v>
      </c>
      <c r="S282" s="2"/>
      <c r="AF282" s="12"/>
      <c r="AG282" s="12"/>
      <c r="AH282" s="12"/>
      <c r="AI282" s="12"/>
      <c r="AJ282" s="12"/>
      <c r="AK282" s="12"/>
      <c r="AL282" s="12"/>
      <c r="AM282" s="14">
        <v>8</v>
      </c>
      <c r="AN282" s="14">
        <v>7</v>
      </c>
      <c r="AO282" s="3">
        <f t="shared" si="37"/>
        <v>0.875</v>
      </c>
      <c r="AP282" s="14"/>
      <c r="AQ282" s="14"/>
      <c r="AR282" s="3"/>
      <c r="AZ282" s="1">
        <f t="shared" si="32"/>
        <v>0</v>
      </c>
    </row>
    <row r="283" spans="1:52" ht="15.75" customHeight="1" x14ac:dyDescent="0.3">
      <c r="A283" s="1" t="s">
        <v>1002</v>
      </c>
      <c r="B283" s="2" t="s">
        <v>1003</v>
      </c>
      <c r="C283" s="2">
        <v>160000004</v>
      </c>
      <c r="D283" s="2" t="s">
        <v>983</v>
      </c>
      <c r="E283" s="1" t="s">
        <v>984</v>
      </c>
      <c r="F283" s="2" t="s">
        <v>67</v>
      </c>
      <c r="G283" s="2" t="s">
        <v>86</v>
      </c>
      <c r="H283" s="2" t="s">
        <v>87</v>
      </c>
      <c r="I283" s="2" t="s">
        <v>409</v>
      </c>
      <c r="J283" s="1" t="s">
        <v>985</v>
      </c>
      <c r="K283" s="1">
        <v>8</v>
      </c>
      <c r="L283" s="1" t="s">
        <v>986</v>
      </c>
      <c r="M283" s="1" t="s">
        <v>572</v>
      </c>
      <c r="N283" s="1" t="s">
        <v>573</v>
      </c>
      <c r="O283" s="1" t="s">
        <v>150</v>
      </c>
      <c r="P283" s="1" t="s">
        <v>11</v>
      </c>
      <c r="Q283" s="1" t="s">
        <v>90</v>
      </c>
      <c r="R283" s="2" t="s">
        <v>1004</v>
      </c>
      <c r="S283" s="2"/>
      <c r="AF283" s="12"/>
      <c r="AG283" s="12"/>
      <c r="AH283" s="12"/>
      <c r="AI283" s="12"/>
      <c r="AJ283" s="12"/>
      <c r="AK283" s="12"/>
      <c r="AL283" s="12"/>
      <c r="AM283" s="14">
        <v>6</v>
      </c>
      <c r="AN283" s="14">
        <v>6</v>
      </c>
      <c r="AO283" s="3">
        <f t="shared" si="37"/>
        <v>1</v>
      </c>
      <c r="AP283" s="14"/>
      <c r="AQ283" s="14"/>
      <c r="AR283" s="3"/>
      <c r="AZ283" s="1">
        <f t="shared" si="32"/>
        <v>0</v>
      </c>
    </row>
    <row r="284" spans="1:52" ht="15.75" customHeight="1" x14ac:dyDescent="0.3">
      <c r="A284" s="1" t="s">
        <v>1005</v>
      </c>
      <c r="B284" s="2" t="s">
        <v>1006</v>
      </c>
      <c r="C284" s="2">
        <v>160000004</v>
      </c>
      <c r="D284" s="2" t="s">
        <v>983</v>
      </c>
      <c r="E284" s="1" t="s">
        <v>984</v>
      </c>
      <c r="F284" s="2" t="s">
        <v>67</v>
      </c>
      <c r="G284" s="2" t="s">
        <v>86</v>
      </c>
      <c r="H284" s="2" t="s">
        <v>87</v>
      </c>
      <c r="I284" s="2" t="s">
        <v>409</v>
      </c>
      <c r="J284" s="1" t="s">
        <v>985</v>
      </c>
      <c r="K284" s="1">
        <v>8</v>
      </c>
      <c r="L284" s="1" t="s">
        <v>986</v>
      </c>
      <c r="M284" s="1" t="s">
        <v>572</v>
      </c>
      <c r="N284" s="1" t="s">
        <v>573</v>
      </c>
      <c r="O284" s="1" t="s">
        <v>150</v>
      </c>
      <c r="P284" s="1" t="s">
        <v>11</v>
      </c>
      <c r="Q284" s="1" t="s">
        <v>75</v>
      </c>
      <c r="R284" s="2" t="s">
        <v>1007</v>
      </c>
      <c r="S284" s="2"/>
      <c r="AF284" s="12"/>
      <c r="AG284" s="12"/>
      <c r="AH284" s="12"/>
      <c r="AI284" s="12"/>
      <c r="AJ284" s="12"/>
      <c r="AK284" s="12"/>
      <c r="AL284" s="12"/>
      <c r="AM284" s="14">
        <v>10</v>
      </c>
      <c r="AN284" s="14">
        <v>9</v>
      </c>
      <c r="AO284" s="3">
        <f t="shared" si="37"/>
        <v>0.9</v>
      </c>
      <c r="AP284" s="14"/>
      <c r="AQ284" s="14"/>
      <c r="AR284" s="3"/>
      <c r="AZ284" s="1">
        <f t="shared" si="32"/>
        <v>0</v>
      </c>
    </row>
    <row r="285" spans="1:52" ht="15.75" customHeight="1" x14ac:dyDescent="0.3">
      <c r="B285" s="1" t="s">
        <v>1008</v>
      </c>
      <c r="C285" s="2">
        <v>160000005</v>
      </c>
      <c r="D285" s="1" t="s">
        <v>989</v>
      </c>
      <c r="E285" s="1" t="s">
        <v>990</v>
      </c>
      <c r="F285" s="2" t="s">
        <v>67</v>
      </c>
      <c r="G285" s="2" t="s">
        <v>86</v>
      </c>
      <c r="H285" s="2" t="s">
        <v>87</v>
      </c>
      <c r="I285" s="2" t="s">
        <v>409</v>
      </c>
      <c r="J285" s="1" t="s">
        <v>125</v>
      </c>
      <c r="K285" s="1">
        <v>10</v>
      </c>
      <c r="L285" s="1" t="s">
        <v>991</v>
      </c>
      <c r="M285" s="1" t="s">
        <v>992</v>
      </c>
      <c r="N285" s="1" t="s">
        <v>991</v>
      </c>
      <c r="O285" s="1" t="s">
        <v>150</v>
      </c>
      <c r="P285" s="1" t="s">
        <v>11</v>
      </c>
      <c r="Q285" s="1" t="s">
        <v>80</v>
      </c>
      <c r="R285" s="1" t="s">
        <v>879</v>
      </c>
      <c r="S285" s="2">
        <v>2020</v>
      </c>
      <c r="AE285" s="1" t="s">
        <v>726</v>
      </c>
      <c r="AM285" s="14">
        <v>11</v>
      </c>
      <c r="AN285" s="14">
        <v>9</v>
      </c>
      <c r="AO285" s="14">
        <v>0.81818181818181823</v>
      </c>
      <c r="AP285" s="14"/>
      <c r="AQ285" s="14"/>
      <c r="AZ285" s="1">
        <f t="shared" si="32"/>
        <v>0</v>
      </c>
    </row>
    <row r="286" spans="1:52" ht="15.75" customHeight="1" x14ac:dyDescent="0.3">
      <c r="A286" s="1" t="s">
        <v>1009</v>
      </c>
      <c r="B286" s="2" t="s">
        <v>1010</v>
      </c>
      <c r="C286" s="2">
        <v>160000004</v>
      </c>
      <c r="D286" s="2" t="s">
        <v>983</v>
      </c>
      <c r="E286" s="1" t="s">
        <v>984</v>
      </c>
      <c r="F286" s="2" t="s">
        <v>67</v>
      </c>
      <c r="G286" s="2" t="s">
        <v>86</v>
      </c>
      <c r="H286" s="2" t="s">
        <v>87</v>
      </c>
      <c r="I286" s="2" t="s">
        <v>409</v>
      </c>
      <c r="J286" s="1" t="s">
        <v>985</v>
      </c>
      <c r="K286" s="1">
        <v>8</v>
      </c>
      <c r="L286" s="1" t="s">
        <v>986</v>
      </c>
      <c r="M286" s="1" t="s">
        <v>572</v>
      </c>
      <c r="N286" s="1" t="s">
        <v>573</v>
      </c>
      <c r="O286" s="1" t="s">
        <v>150</v>
      </c>
      <c r="P286" s="1" t="s">
        <v>11</v>
      </c>
      <c r="Q286" s="1" t="s">
        <v>80</v>
      </c>
      <c r="R286" s="2" t="s">
        <v>534</v>
      </c>
      <c r="S286" s="2"/>
      <c r="AF286" s="12"/>
      <c r="AG286" s="12"/>
      <c r="AH286" s="12"/>
      <c r="AI286" s="12"/>
      <c r="AJ286" s="12"/>
      <c r="AK286" s="12"/>
      <c r="AL286" s="12"/>
      <c r="AM286" s="14">
        <v>24</v>
      </c>
      <c r="AN286" s="14">
        <v>25</v>
      </c>
      <c r="AO286" s="3">
        <f>AN286/AM286</f>
        <v>1.0416666666666667</v>
      </c>
      <c r="AP286" s="14"/>
      <c r="AQ286" s="14"/>
      <c r="AR286" s="3"/>
      <c r="AZ286" s="1">
        <f t="shared" si="32"/>
        <v>0</v>
      </c>
    </row>
    <row r="287" spans="1:52" ht="15.75" customHeight="1" x14ac:dyDescent="0.3">
      <c r="B287" s="1" t="s">
        <v>1011</v>
      </c>
      <c r="C287" s="2">
        <v>160000033</v>
      </c>
      <c r="D287" s="1" t="s">
        <v>976</v>
      </c>
      <c r="E287" s="1" t="s">
        <v>977</v>
      </c>
      <c r="F287" s="2" t="s">
        <v>67</v>
      </c>
      <c r="G287" s="2" t="s">
        <v>86</v>
      </c>
      <c r="H287" s="2" t="s">
        <v>87</v>
      </c>
      <c r="I287" s="2" t="s">
        <v>409</v>
      </c>
      <c r="J287" s="1" t="s">
        <v>460</v>
      </c>
      <c r="K287" s="1">
        <v>6</v>
      </c>
      <c r="L287" s="1" t="s">
        <v>978</v>
      </c>
      <c r="M287" s="1" t="s">
        <v>979</v>
      </c>
      <c r="N287" s="1" t="s">
        <v>463</v>
      </c>
      <c r="O287" s="1" t="s">
        <v>150</v>
      </c>
      <c r="P287" s="1" t="s">
        <v>11</v>
      </c>
      <c r="Q287" s="1" t="s">
        <v>75</v>
      </c>
      <c r="R287" s="1" t="s">
        <v>477</v>
      </c>
      <c r="S287" s="2"/>
      <c r="AE287" s="1" t="s">
        <v>726</v>
      </c>
      <c r="AM287" s="14">
        <v>18</v>
      </c>
      <c r="AN287" s="14">
        <v>18</v>
      </c>
      <c r="AO287" s="14">
        <v>1</v>
      </c>
      <c r="AP287" s="14"/>
      <c r="AQ287" s="14"/>
      <c r="AZ287" s="1">
        <f t="shared" si="32"/>
        <v>0</v>
      </c>
    </row>
    <row r="288" spans="1:52" ht="15.75" customHeight="1" x14ac:dyDescent="0.3">
      <c r="A288" s="1" t="s">
        <v>1012</v>
      </c>
      <c r="B288" s="2" t="s">
        <v>1013</v>
      </c>
      <c r="C288" s="2">
        <v>160000004</v>
      </c>
      <c r="D288" s="2" t="s">
        <v>983</v>
      </c>
      <c r="E288" s="1" t="s">
        <v>984</v>
      </c>
      <c r="F288" s="2" t="s">
        <v>67</v>
      </c>
      <c r="G288" s="2" t="s">
        <v>86</v>
      </c>
      <c r="H288" s="2" t="s">
        <v>87</v>
      </c>
      <c r="I288" s="2" t="s">
        <v>409</v>
      </c>
      <c r="J288" s="1" t="s">
        <v>985</v>
      </c>
      <c r="K288" s="1">
        <v>8</v>
      </c>
      <c r="L288" s="1" t="s">
        <v>986</v>
      </c>
      <c r="M288" s="1" t="s">
        <v>572</v>
      </c>
      <c r="N288" s="1" t="s">
        <v>573</v>
      </c>
      <c r="O288" s="1" t="s">
        <v>150</v>
      </c>
      <c r="P288" s="1" t="s">
        <v>11</v>
      </c>
      <c r="Q288" s="1" t="s">
        <v>141</v>
      </c>
      <c r="R288" s="2" t="s">
        <v>1014</v>
      </c>
      <c r="S288" s="2"/>
      <c r="AF288" s="12"/>
      <c r="AG288" s="12"/>
      <c r="AH288" s="12"/>
      <c r="AI288" s="12"/>
      <c r="AJ288" s="12"/>
      <c r="AK288" s="12"/>
      <c r="AL288" s="12"/>
      <c r="AM288" s="14">
        <v>29</v>
      </c>
      <c r="AN288" s="14">
        <v>26</v>
      </c>
      <c r="AO288" s="3">
        <f t="shared" ref="AO288:AO289" si="38">AN288/AM288</f>
        <v>0.89655172413793105</v>
      </c>
      <c r="AP288" s="14"/>
      <c r="AQ288" s="14"/>
      <c r="AR288" s="3"/>
      <c r="AZ288" s="1">
        <f t="shared" si="32"/>
        <v>0</v>
      </c>
    </row>
    <row r="289" spans="1:52" ht="15.75" customHeight="1" x14ac:dyDescent="0.3">
      <c r="A289" s="1" t="s">
        <v>1015</v>
      </c>
      <c r="B289" s="2" t="s">
        <v>1016</v>
      </c>
      <c r="C289" s="2">
        <v>160000005</v>
      </c>
      <c r="D289" s="2" t="s">
        <v>989</v>
      </c>
      <c r="E289" s="1" t="s">
        <v>990</v>
      </c>
      <c r="F289" s="2" t="s">
        <v>67</v>
      </c>
      <c r="G289" s="2" t="s">
        <v>86</v>
      </c>
      <c r="H289" s="2" t="s">
        <v>87</v>
      </c>
      <c r="I289" s="2" t="s">
        <v>409</v>
      </c>
      <c r="J289" s="1" t="s">
        <v>125</v>
      </c>
      <c r="K289" s="1">
        <v>10</v>
      </c>
      <c r="L289" s="1" t="s">
        <v>991</v>
      </c>
      <c r="M289" s="1" t="s">
        <v>992</v>
      </c>
      <c r="N289" s="1" t="s">
        <v>991</v>
      </c>
      <c r="O289" s="1" t="s">
        <v>150</v>
      </c>
      <c r="P289" s="1" t="s">
        <v>11</v>
      </c>
      <c r="Q289" s="1" t="s">
        <v>80</v>
      </c>
      <c r="R289" s="2" t="s">
        <v>1017</v>
      </c>
      <c r="S289" s="2"/>
      <c r="AF289" s="12"/>
      <c r="AG289" s="12"/>
      <c r="AH289" s="12"/>
      <c r="AI289" s="12"/>
      <c r="AJ289" s="12"/>
      <c r="AK289" s="12"/>
      <c r="AL289" s="12"/>
      <c r="AM289" s="14">
        <v>45</v>
      </c>
      <c r="AN289" s="14">
        <v>45</v>
      </c>
      <c r="AO289" s="3">
        <f t="shared" si="38"/>
        <v>1</v>
      </c>
      <c r="AP289" s="14"/>
      <c r="AQ289" s="14"/>
      <c r="AR289" s="3"/>
      <c r="AZ289" s="1">
        <f t="shared" si="32"/>
        <v>0</v>
      </c>
    </row>
    <row r="290" spans="1:52" ht="15.75" customHeight="1" x14ac:dyDescent="0.3">
      <c r="B290" s="1" t="s">
        <v>1018</v>
      </c>
      <c r="C290" s="2">
        <v>160000005</v>
      </c>
      <c r="D290" s="1" t="s">
        <v>989</v>
      </c>
      <c r="E290" s="1" t="s">
        <v>990</v>
      </c>
      <c r="F290" s="2" t="s">
        <v>67</v>
      </c>
      <c r="G290" s="2" t="s">
        <v>86</v>
      </c>
      <c r="H290" s="2" t="s">
        <v>87</v>
      </c>
      <c r="I290" s="2" t="s">
        <v>409</v>
      </c>
      <c r="J290" s="1" t="s">
        <v>125</v>
      </c>
      <c r="K290" s="1">
        <v>10</v>
      </c>
      <c r="L290" s="1" t="s">
        <v>991</v>
      </c>
      <c r="M290" s="1" t="s">
        <v>992</v>
      </c>
      <c r="N290" s="1" t="s">
        <v>991</v>
      </c>
      <c r="O290" s="1" t="s">
        <v>150</v>
      </c>
      <c r="P290" s="1" t="s">
        <v>11</v>
      </c>
      <c r="Q290" s="1" t="s">
        <v>80</v>
      </c>
      <c r="R290" s="1" t="s">
        <v>1019</v>
      </c>
      <c r="S290" s="2"/>
      <c r="AE290" s="1" t="s">
        <v>285</v>
      </c>
      <c r="AM290" s="14">
        <v>18</v>
      </c>
      <c r="AN290" s="14">
        <v>17</v>
      </c>
      <c r="AO290" s="14">
        <v>0.94444444444444442</v>
      </c>
      <c r="AP290" s="14"/>
      <c r="AQ290" s="14"/>
      <c r="AZ290" s="1">
        <f t="shared" si="32"/>
        <v>0</v>
      </c>
    </row>
    <row r="291" spans="1:52" ht="15.75" customHeight="1" x14ac:dyDescent="0.3">
      <c r="A291" s="1" t="s">
        <v>1020</v>
      </c>
      <c r="B291" s="2" t="s">
        <v>1021</v>
      </c>
      <c r="C291" s="2">
        <v>160000005</v>
      </c>
      <c r="D291" s="2" t="s">
        <v>989</v>
      </c>
      <c r="E291" s="1" t="s">
        <v>990</v>
      </c>
      <c r="F291" s="2" t="s">
        <v>67</v>
      </c>
      <c r="G291" s="2" t="s">
        <v>86</v>
      </c>
      <c r="H291" s="2" t="s">
        <v>87</v>
      </c>
      <c r="I291" s="2" t="s">
        <v>409</v>
      </c>
      <c r="J291" s="1" t="s">
        <v>125</v>
      </c>
      <c r="K291" s="1">
        <v>10</v>
      </c>
      <c r="L291" s="1" t="s">
        <v>991</v>
      </c>
      <c r="M291" s="1" t="s">
        <v>992</v>
      </c>
      <c r="N291" s="1" t="s">
        <v>991</v>
      </c>
      <c r="O291" s="1" t="s">
        <v>150</v>
      </c>
      <c r="P291" s="1" t="s">
        <v>11</v>
      </c>
      <c r="Q291" s="1" t="s">
        <v>141</v>
      </c>
      <c r="R291" s="2" t="s">
        <v>1022</v>
      </c>
      <c r="S291" s="2"/>
      <c r="AF291" s="12"/>
      <c r="AG291" s="12"/>
      <c r="AH291" s="12"/>
      <c r="AI291" s="12"/>
      <c r="AJ291" s="12"/>
      <c r="AK291" s="12"/>
      <c r="AL291" s="12"/>
      <c r="AM291" s="14">
        <v>19</v>
      </c>
      <c r="AN291" s="14">
        <v>17</v>
      </c>
      <c r="AO291" s="3">
        <f t="shared" ref="AO291:AO297" si="39">AN291/AM291</f>
        <v>0.89473684210526316</v>
      </c>
      <c r="AP291" s="14"/>
      <c r="AQ291" s="14"/>
      <c r="AR291" s="3"/>
      <c r="AZ291" s="1">
        <f t="shared" si="32"/>
        <v>0</v>
      </c>
    </row>
    <row r="292" spans="1:52" ht="15.75" customHeight="1" x14ac:dyDescent="0.3">
      <c r="A292" s="1" t="s">
        <v>1023</v>
      </c>
      <c r="B292" s="2" t="s">
        <v>1024</v>
      </c>
      <c r="C292" s="2">
        <v>160000005</v>
      </c>
      <c r="D292" s="2" t="s">
        <v>989</v>
      </c>
      <c r="E292" s="1" t="s">
        <v>990</v>
      </c>
      <c r="F292" s="2" t="s">
        <v>67</v>
      </c>
      <c r="G292" s="2" t="s">
        <v>86</v>
      </c>
      <c r="H292" s="2" t="s">
        <v>87</v>
      </c>
      <c r="I292" s="2" t="s">
        <v>409</v>
      </c>
      <c r="J292" s="1" t="s">
        <v>125</v>
      </c>
      <c r="K292" s="1">
        <v>10</v>
      </c>
      <c r="L292" s="1" t="s">
        <v>991</v>
      </c>
      <c r="M292" s="1" t="s">
        <v>992</v>
      </c>
      <c r="N292" s="1" t="s">
        <v>991</v>
      </c>
      <c r="O292" s="1" t="s">
        <v>150</v>
      </c>
      <c r="P292" s="1" t="s">
        <v>11</v>
      </c>
      <c r="Q292" s="1" t="s">
        <v>80</v>
      </c>
      <c r="R292" s="2" t="s">
        <v>1025</v>
      </c>
      <c r="S292" s="2"/>
      <c r="AF292" s="12"/>
      <c r="AG292" s="12"/>
      <c r="AH292" s="12"/>
      <c r="AI292" s="12"/>
      <c r="AJ292" s="12"/>
      <c r="AK292" s="12"/>
      <c r="AL292" s="12"/>
      <c r="AM292" s="14">
        <v>61</v>
      </c>
      <c r="AN292" s="14">
        <v>58</v>
      </c>
      <c r="AO292" s="3">
        <f t="shared" si="39"/>
        <v>0.95081967213114749</v>
      </c>
      <c r="AP292" s="14"/>
      <c r="AQ292" s="14"/>
      <c r="AR292" s="3"/>
      <c r="AZ292" s="1">
        <f t="shared" si="32"/>
        <v>0</v>
      </c>
    </row>
    <row r="293" spans="1:52" ht="15.75" customHeight="1" x14ac:dyDescent="0.3">
      <c r="A293" s="1" t="s">
        <v>1026</v>
      </c>
      <c r="B293" s="2" t="s">
        <v>1027</v>
      </c>
      <c r="C293" s="2">
        <v>160000005</v>
      </c>
      <c r="D293" s="2" t="s">
        <v>989</v>
      </c>
      <c r="E293" s="1" t="s">
        <v>990</v>
      </c>
      <c r="F293" s="2" t="s">
        <v>67</v>
      </c>
      <c r="G293" s="2" t="s">
        <v>86</v>
      </c>
      <c r="H293" s="2" t="s">
        <v>87</v>
      </c>
      <c r="I293" s="2" t="s">
        <v>409</v>
      </c>
      <c r="J293" s="1" t="s">
        <v>125</v>
      </c>
      <c r="K293" s="1">
        <v>10</v>
      </c>
      <c r="L293" s="1" t="s">
        <v>991</v>
      </c>
      <c r="M293" s="1" t="s">
        <v>992</v>
      </c>
      <c r="N293" s="1" t="s">
        <v>991</v>
      </c>
      <c r="O293" s="1" t="s">
        <v>150</v>
      </c>
      <c r="P293" s="1" t="s">
        <v>11</v>
      </c>
      <c r="Q293" s="1" t="s">
        <v>90</v>
      </c>
      <c r="R293" s="2" t="s">
        <v>1028</v>
      </c>
      <c r="S293" s="2"/>
      <c r="AF293" s="12"/>
      <c r="AG293" s="12"/>
      <c r="AH293" s="12"/>
      <c r="AI293" s="12"/>
      <c r="AJ293" s="12"/>
      <c r="AK293" s="12"/>
      <c r="AL293" s="12"/>
      <c r="AM293" s="14">
        <v>9</v>
      </c>
      <c r="AN293" s="14">
        <v>9</v>
      </c>
      <c r="AO293" s="3">
        <f t="shared" si="39"/>
        <v>1</v>
      </c>
      <c r="AP293" s="14"/>
      <c r="AQ293" s="14"/>
      <c r="AR293" s="3"/>
      <c r="AZ293" s="1">
        <f t="shared" si="32"/>
        <v>0</v>
      </c>
    </row>
    <row r="294" spans="1:52" ht="15.75" customHeight="1" x14ac:dyDescent="0.3">
      <c r="A294" s="1" t="s">
        <v>1029</v>
      </c>
      <c r="B294" s="2" t="s">
        <v>1030</v>
      </c>
      <c r="C294" s="2">
        <v>160000005</v>
      </c>
      <c r="D294" s="2" t="s">
        <v>989</v>
      </c>
      <c r="E294" s="1" t="s">
        <v>990</v>
      </c>
      <c r="F294" s="2" t="s">
        <v>67</v>
      </c>
      <c r="G294" s="2" t="s">
        <v>86</v>
      </c>
      <c r="H294" s="2" t="s">
        <v>87</v>
      </c>
      <c r="I294" s="2" t="s">
        <v>409</v>
      </c>
      <c r="J294" s="1" t="s">
        <v>125</v>
      </c>
      <c r="K294" s="1">
        <v>10</v>
      </c>
      <c r="L294" s="1" t="s">
        <v>991</v>
      </c>
      <c r="M294" s="1" t="s">
        <v>992</v>
      </c>
      <c r="N294" s="1" t="s">
        <v>991</v>
      </c>
      <c r="O294" s="1" t="s">
        <v>150</v>
      </c>
      <c r="P294" s="1" t="s">
        <v>11</v>
      </c>
      <c r="Q294" s="1" t="s">
        <v>75</v>
      </c>
      <c r="R294" s="2" t="s">
        <v>1031</v>
      </c>
      <c r="S294" s="2"/>
      <c r="AF294" s="12"/>
      <c r="AG294" s="12"/>
      <c r="AH294" s="12"/>
      <c r="AI294" s="12"/>
      <c r="AJ294" s="12"/>
      <c r="AK294" s="12"/>
      <c r="AL294" s="12"/>
      <c r="AM294" s="14">
        <v>16</v>
      </c>
      <c r="AN294" s="14">
        <v>15</v>
      </c>
      <c r="AO294" s="3">
        <f t="shared" si="39"/>
        <v>0.9375</v>
      </c>
      <c r="AP294" s="14"/>
      <c r="AQ294" s="14"/>
      <c r="AR294" s="3"/>
      <c r="AZ294" s="1">
        <f t="shared" si="32"/>
        <v>0</v>
      </c>
    </row>
    <row r="295" spans="1:52" ht="15.75" customHeight="1" x14ac:dyDescent="0.3">
      <c r="A295" s="1" t="s">
        <v>1032</v>
      </c>
      <c r="B295" s="2" t="s">
        <v>1033</v>
      </c>
      <c r="C295" s="2">
        <v>160000004</v>
      </c>
      <c r="D295" s="2" t="s">
        <v>983</v>
      </c>
      <c r="E295" s="1" t="s">
        <v>984</v>
      </c>
      <c r="F295" s="2" t="s">
        <v>67</v>
      </c>
      <c r="G295" s="2" t="s">
        <v>86</v>
      </c>
      <c r="H295" s="2" t="s">
        <v>87</v>
      </c>
      <c r="I295" s="2" t="s">
        <v>409</v>
      </c>
      <c r="J295" s="1" t="s">
        <v>985</v>
      </c>
      <c r="K295" s="1">
        <v>8</v>
      </c>
      <c r="L295" s="1" t="s">
        <v>986</v>
      </c>
      <c r="M295" s="1" t="s">
        <v>572</v>
      </c>
      <c r="N295" s="1" t="s">
        <v>573</v>
      </c>
      <c r="O295" s="1" t="s">
        <v>150</v>
      </c>
      <c r="P295" s="1" t="s">
        <v>11</v>
      </c>
      <c r="Q295" s="1" t="s">
        <v>80</v>
      </c>
      <c r="R295" s="2" t="s">
        <v>786</v>
      </c>
      <c r="S295" s="2"/>
      <c r="AF295" s="12"/>
      <c r="AG295" s="12"/>
      <c r="AH295" s="12"/>
      <c r="AI295" s="12"/>
      <c r="AJ295" s="12"/>
      <c r="AK295" s="12"/>
      <c r="AL295" s="12"/>
      <c r="AM295" s="14">
        <v>6</v>
      </c>
      <c r="AN295" s="14">
        <v>9</v>
      </c>
      <c r="AO295" s="3">
        <f t="shared" si="39"/>
        <v>1.5</v>
      </c>
      <c r="AP295" s="14"/>
      <c r="AQ295" s="14"/>
      <c r="AR295" s="3"/>
      <c r="AZ295" s="1">
        <f t="shared" si="32"/>
        <v>0</v>
      </c>
    </row>
    <row r="296" spans="1:52" ht="15.75" customHeight="1" x14ac:dyDescent="0.3">
      <c r="A296" s="1" t="s">
        <v>1034</v>
      </c>
      <c r="B296" s="2" t="s">
        <v>1035</v>
      </c>
      <c r="C296" s="2">
        <v>160000004</v>
      </c>
      <c r="D296" s="2" t="s">
        <v>983</v>
      </c>
      <c r="E296" s="1" t="s">
        <v>984</v>
      </c>
      <c r="F296" s="2" t="s">
        <v>67</v>
      </c>
      <c r="G296" s="2" t="s">
        <v>86</v>
      </c>
      <c r="H296" s="2" t="s">
        <v>87</v>
      </c>
      <c r="I296" s="2" t="s">
        <v>409</v>
      </c>
      <c r="J296" s="1" t="s">
        <v>985</v>
      </c>
      <c r="K296" s="1">
        <v>8</v>
      </c>
      <c r="L296" s="1" t="s">
        <v>986</v>
      </c>
      <c r="M296" s="1" t="s">
        <v>572</v>
      </c>
      <c r="N296" s="1" t="s">
        <v>573</v>
      </c>
      <c r="O296" s="1" t="s">
        <v>150</v>
      </c>
      <c r="P296" s="1" t="s">
        <v>11</v>
      </c>
      <c r="Q296" s="1" t="s">
        <v>80</v>
      </c>
      <c r="R296" s="2" t="s">
        <v>759</v>
      </c>
      <c r="S296" s="2"/>
      <c r="AF296" s="12"/>
      <c r="AG296" s="12"/>
      <c r="AH296" s="12"/>
      <c r="AI296" s="12"/>
      <c r="AJ296" s="12"/>
      <c r="AK296" s="12"/>
      <c r="AL296" s="12"/>
      <c r="AM296" s="14">
        <v>29</v>
      </c>
      <c r="AN296" s="14">
        <v>30</v>
      </c>
      <c r="AO296" s="3">
        <f t="shared" si="39"/>
        <v>1.0344827586206897</v>
      </c>
      <c r="AP296" s="14"/>
      <c r="AQ296" s="14"/>
      <c r="AR296" s="3"/>
      <c r="AZ296" s="1">
        <f t="shared" si="32"/>
        <v>0</v>
      </c>
    </row>
    <row r="297" spans="1:52" ht="15.75" customHeight="1" x14ac:dyDescent="0.3">
      <c r="A297" s="1" t="s">
        <v>1036</v>
      </c>
      <c r="B297" s="2" t="s">
        <v>1037</v>
      </c>
      <c r="C297" s="2">
        <v>160000033</v>
      </c>
      <c r="D297" s="2" t="s">
        <v>976</v>
      </c>
      <c r="E297" s="1" t="s">
        <v>977</v>
      </c>
      <c r="F297" s="2" t="s">
        <v>67</v>
      </c>
      <c r="G297" s="2" t="s">
        <v>86</v>
      </c>
      <c r="H297" s="2" t="s">
        <v>87</v>
      </c>
      <c r="I297" s="2" t="s">
        <v>409</v>
      </c>
      <c r="J297" s="1" t="s">
        <v>460</v>
      </c>
      <c r="K297" s="1">
        <v>6</v>
      </c>
      <c r="L297" s="1" t="s">
        <v>978</v>
      </c>
      <c r="M297" s="1" t="s">
        <v>979</v>
      </c>
      <c r="N297" s="1" t="s">
        <v>463</v>
      </c>
      <c r="O297" s="1" t="s">
        <v>150</v>
      </c>
      <c r="P297" s="1" t="s">
        <v>11</v>
      </c>
      <c r="Q297" s="1" t="s">
        <v>80</v>
      </c>
      <c r="R297" s="2" t="s">
        <v>759</v>
      </c>
      <c r="S297" s="2"/>
      <c r="AF297" s="12"/>
      <c r="AG297" s="12"/>
      <c r="AH297" s="12"/>
      <c r="AI297" s="12"/>
      <c r="AJ297" s="12"/>
      <c r="AK297" s="12"/>
      <c r="AL297" s="12"/>
      <c r="AM297" s="14">
        <v>17</v>
      </c>
      <c r="AN297" s="14">
        <v>17</v>
      </c>
      <c r="AO297" s="3">
        <f t="shared" si="39"/>
        <v>1</v>
      </c>
      <c r="AP297" s="14"/>
      <c r="AQ297" s="14"/>
      <c r="AR297" s="3"/>
      <c r="AZ297" s="1">
        <f t="shared" si="32"/>
        <v>0</v>
      </c>
    </row>
    <row r="298" spans="1:52" ht="15.75" customHeight="1" x14ac:dyDescent="0.3">
      <c r="B298" s="1" t="s">
        <v>1038</v>
      </c>
      <c r="C298" s="2">
        <v>160000033</v>
      </c>
      <c r="D298" s="1" t="s">
        <v>976</v>
      </c>
      <c r="E298" s="1" t="s">
        <v>977</v>
      </c>
      <c r="F298" s="2" t="s">
        <v>67</v>
      </c>
      <c r="G298" s="2" t="s">
        <v>86</v>
      </c>
      <c r="H298" s="2" t="s">
        <v>87</v>
      </c>
      <c r="I298" s="2" t="s">
        <v>409</v>
      </c>
      <c r="J298" s="1" t="s">
        <v>460</v>
      </c>
      <c r="K298" s="1">
        <v>6</v>
      </c>
      <c r="L298" s="1" t="s">
        <v>978</v>
      </c>
      <c r="M298" s="1" t="s">
        <v>979</v>
      </c>
      <c r="N298" s="1" t="s">
        <v>463</v>
      </c>
      <c r="O298" s="1" t="s">
        <v>150</v>
      </c>
      <c r="P298" s="1" t="s">
        <v>11</v>
      </c>
      <c r="Q298" s="1" t="s">
        <v>80</v>
      </c>
      <c r="R298" s="1" t="s">
        <v>1039</v>
      </c>
      <c r="S298" s="2"/>
      <c r="AE298" s="1" t="s">
        <v>726</v>
      </c>
      <c r="AM298" s="14">
        <v>16</v>
      </c>
      <c r="AN298" s="14">
        <v>16</v>
      </c>
      <c r="AO298" s="14">
        <v>1</v>
      </c>
      <c r="AP298" s="14"/>
      <c r="AQ298" s="14"/>
      <c r="AZ298" s="1">
        <f t="shared" si="32"/>
        <v>0</v>
      </c>
    </row>
    <row r="299" spans="1:52" ht="15.75" customHeight="1" x14ac:dyDescent="0.3">
      <c r="A299" s="1" t="s">
        <v>1040</v>
      </c>
      <c r="B299" s="2" t="s">
        <v>1041</v>
      </c>
      <c r="C299" s="2">
        <v>160000021</v>
      </c>
      <c r="D299" s="2" t="s">
        <v>891</v>
      </c>
      <c r="E299" s="1" t="s">
        <v>892</v>
      </c>
      <c r="F299" s="2" t="s">
        <v>67</v>
      </c>
      <c r="G299" s="2" t="s">
        <v>86</v>
      </c>
      <c r="H299" s="2" t="s">
        <v>87</v>
      </c>
      <c r="I299" s="2" t="s">
        <v>409</v>
      </c>
      <c r="J299" s="1" t="s">
        <v>511</v>
      </c>
      <c r="K299" s="1">
        <v>6</v>
      </c>
      <c r="L299" s="1" t="s">
        <v>74</v>
      </c>
      <c r="M299" s="1" t="s">
        <v>73</v>
      </c>
      <c r="N299" s="1" t="s">
        <v>74</v>
      </c>
      <c r="O299" s="1" t="s">
        <v>74</v>
      </c>
      <c r="P299" s="1" t="s">
        <v>11</v>
      </c>
      <c r="Q299" s="1" t="s">
        <v>80</v>
      </c>
      <c r="R299" s="2" t="s">
        <v>1039</v>
      </c>
      <c r="S299" s="2"/>
      <c r="AF299" s="12"/>
      <c r="AG299" s="12"/>
      <c r="AH299" s="12"/>
      <c r="AI299" s="12"/>
      <c r="AJ299" s="12"/>
      <c r="AK299" s="12"/>
      <c r="AL299" s="12"/>
      <c r="AM299" s="14">
        <v>10</v>
      </c>
      <c r="AN299" s="14">
        <v>10</v>
      </c>
      <c r="AO299" s="3">
        <f t="shared" ref="AO299:AO307" si="40">AN299/AM299</f>
        <v>1</v>
      </c>
      <c r="AP299" s="14"/>
      <c r="AQ299" s="14"/>
      <c r="AR299" s="3"/>
      <c r="AZ299" s="1">
        <f t="shared" si="32"/>
        <v>0</v>
      </c>
    </row>
    <row r="300" spans="1:52" ht="15.75" customHeight="1" x14ac:dyDescent="0.3">
      <c r="A300" s="1" t="s">
        <v>1042</v>
      </c>
      <c r="B300" s="2" t="s">
        <v>1043</v>
      </c>
      <c r="C300" s="2">
        <v>160000033</v>
      </c>
      <c r="D300" s="2" t="s">
        <v>976</v>
      </c>
      <c r="E300" s="1" t="s">
        <v>977</v>
      </c>
      <c r="F300" s="2" t="s">
        <v>67</v>
      </c>
      <c r="G300" s="2" t="s">
        <v>86</v>
      </c>
      <c r="H300" s="2" t="s">
        <v>87</v>
      </c>
      <c r="I300" s="2" t="s">
        <v>409</v>
      </c>
      <c r="J300" s="1" t="s">
        <v>460</v>
      </c>
      <c r="K300" s="1">
        <v>6</v>
      </c>
      <c r="L300" s="1" t="s">
        <v>978</v>
      </c>
      <c r="M300" s="1" t="s">
        <v>979</v>
      </c>
      <c r="N300" s="1" t="s">
        <v>463</v>
      </c>
      <c r="O300" s="1" t="s">
        <v>150</v>
      </c>
      <c r="P300" s="1" t="s">
        <v>11</v>
      </c>
      <c r="Q300" s="1" t="s">
        <v>80</v>
      </c>
      <c r="R300" s="2" t="s">
        <v>315</v>
      </c>
      <c r="S300" s="2"/>
      <c r="AF300" s="12"/>
      <c r="AG300" s="12"/>
      <c r="AH300" s="12"/>
      <c r="AI300" s="12"/>
      <c r="AJ300" s="12"/>
      <c r="AK300" s="12"/>
      <c r="AL300" s="12"/>
      <c r="AM300" s="14">
        <v>19</v>
      </c>
      <c r="AN300" s="14">
        <v>19</v>
      </c>
      <c r="AO300" s="3">
        <f t="shared" si="40"/>
        <v>1</v>
      </c>
      <c r="AP300" s="14"/>
      <c r="AQ300" s="14"/>
      <c r="AR300" s="3"/>
      <c r="AZ300" s="1">
        <f t="shared" si="32"/>
        <v>0</v>
      </c>
    </row>
    <row r="301" spans="1:52" ht="15.75" customHeight="1" x14ac:dyDescent="0.3">
      <c r="A301" s="1" t="s">
        <v>1044</v>
      </c>
      <c r="B301" s="2" t="s">
        <v>1045</v>
      </c>
      <c r="C301" s="2">
        <v>160000004</v>
      </c>
      <c r="D301" s="2" t="s">
        <v>983</v>
      </c>
      <c r="E301" s="1" t="s">
        <v>984</v>
      </c>
      <c r="F301" s="2" t="s">
        <v>67</v>
      </c>
      <c r="G301" s="2" t="s">
        <v>86</v>
      </c>
      <c r="H301" s="2" t="s">
        <v>87</v>
      </c>
      <c r="I301" s="2" t="s">
        <v>409</v>
      </c>
      <c r="J301" s="1" t="s">
        <v>985</v>
      </c>
      <c r="K301" s="1">
        <v>8</v>
      </c>
      <c r="L301" s="1" t="s">
        <v>986</v>
      </c>
      <c r="M301" s="1" t="s">
        <v>572</v>
      </c>
      <c r="N301" s="1" t="s">
        <v>573</v>
      </c>
      <c r="O301" s="1" t="s">
        <v>150</v>
      </c>
      <c r="P301" s="1" t="s">
        <v>11</v>
      </c>
      <c r="Q301" s="1" t="s">
        <v>75</v>
      </c>
      <c r="R301" s="2" t="s">
        <v>157</v>
      </c>
      <c r="S301" s="2"/>
      <c r="AF301" s="12"/>
      <c r="AG301" s="12"/>
      <c r="AH301" s="12"/>
      <c r="AI301" s="12"/>
      <c r="AJ301" s="12"/>
      <c r="AK301" s="12"/>
      <c r="AL301" s="12"/>
      <c r="AM301" s="14">
        <v>4</v>
      </c>
      <c r="AN301" s="14">
        <v>4</v>
      </c>
      <c r="AO301" s="3">
        <f t="shared" si="40"/>
        <v>1</v>
      </c>
      <c r="AP301" s="14"/>
      <c r="AQ301" s="14"/>
      <c r="AR301" s="3"/>
      <c r="AZ301" s="1">
        <f t="shared" si="32"/>
        <v>0</v>
      </c>
    </row>
    <row r="302" spans="1:52" ht="15.75" customHeight="1" x14ac:dyDescent="0.3">
      <c r="A302" s="1" t="s">
        <v>1046</v>
      </c>
      <c r="B302" s="2" t="s">
        <v>1047</v>
      </c>
      <c r="C302" s="2">
        <v>160000004</v>
      </c>
      <c r="D302" s="2" t="s">
        <v>983</v>
      </c>
      <c r="E302" s="1" t="s">
        <v>984</v>
      </c>
      <c r="F302" s="2" t="s">
        <v>67</v>
      </c>
      <c r="G302" s="2" t="s">
        <v>86</v>
      </c>
      <c r="H302" s="2" t="s">
        <v>87</v>
      </c>
      <c r="I302" s="2" t="s">
        <v>409</v>
      </c>
      <c r="J302" s="1" t="s">
        <v>985</v>
      </c>
      <c r="K302" s="1">
        <v>8</v>
      </c>
      <c r="L302" s="1" t="s">
        <v>986</v>
      </c>
      <c r="M302" s="1" t="s">
        <v>572</v>
      </c>
      <c r="N302" s="1" t="s">
        <v>573</v>
      </c>
      <c r="O302" s="1" t="s">
        <v>150</v>
      </c>
      <c r="P302" s="1" t="s">
        <v>11</v>
      </c>
      <c r="Q302" s="1" t="s">
        <v>75</v>
      </c>
      <c r="R302" s="2" t="s">
        <v>1048</v>
      </c>
      <c r="S302" s="2">
        <v>2018</v>
      </c>
      <c r="AF302" s="12"/>
      <c r="AG302" s="12"/>
      <c r="AH302" s="12"/>
      <c r="AI302" s="12"/>
      <c r="AJ302" s="12"/>
      <c r="AK302" s="12"/>
      <c r="AL302" s="12"/>
      <c r="AM302" s="14">
        <v>6</v>
      </c>
      <c r="AN302" s="14">
        <v>6</v>
      </c>
      <c r="AO302" s="3">
        <f t="shared" si="40"/>
        <v>1</v>
      </c>
      <c r="AP302" s="14"/>
      <c r="AQ302" s="14"/>
      <c r="AR302" s="3"/>
      <c r="AZ302" s="1">
        <f t="shared" si="32"/>
        <v>0</v>
      </c>
    </row>
    <row r="303" spans="1:52" ht="15.75" customHeight="1" x14ac:dyDescent="0.3">
      <c r="A303" s="1" t="s">
        <v>1049</v>
      </c>
      <c r="B303" s="2" t="s">
        <v>1050</v>
      </c>
      <c r="C303" s="2">
        <v>160000004</v>
      </c>
      <c r="D303" s="2" t="s">
        <v>983</v>
      </c>
      <c r="E303" s="1" t="s">
        <v>984</v>
      </c>
      <c r="F303" s="2" t="s">
        <v>67</v>
      </c>
      <c r="G303" s="2" t="s">
        <v>86</v>
      </c>
      <c r="H303" s="2" t="s">
        <v>87</v>
      </c>
      <c r="I303" s="2" t="s">
        <v>409</v>
      </c>
      <c r="J303" s="1" t="s">
        <v>985</v>
      </c>
      <c r="K303" s="1">
        <v>8</v>
      </c>
      <c r="L303" s="1" t="s">
        <v>986</v>
      </c>
      <c r="M303" s="1" t="s">
        <v>572</v>
      </c>
      <c r="N303" s="1" t="s">
        <v>573</v>
      </c>
      <c r="O303" s="1" t="s">
        <v>150</v>
      </c>
      <c r="P303" s="1" t="s">
        <v>11</v>
      </c>
      <c r="Q303" s="1" t="s">
        <v>90</v>
      </c>
      <c r="R303" s="2" t="s">
        <v>592</v>
      </c>
      <c r="S303" s="2"/>
      <c r="AF303" s="12"/>
      <c r="AG303" s="12"/>
      <c r="AH303" s="12"/>
      <c r="AI303" s="12"/>
      <c r="AJ303" s="12"/>
      <c r="AK303" s="12"/>
      <c r="AL303" s="12"/>
      <c r="AM303" s="14">
        <v>5</v>
      </c>
      <c r="AN303" s="14">
        <v>5</v>
      </c>
      <c r="AO303" s="3">
        <f t="shared" si="40"/>
        <v>1</v>
      </c>
      <c r="AP303" s="14"/>
      <c r="AQ303" s="14"/>
      <c r="AR303" s="3"/>
      <c r="AZ303" s="1">
        <f t="shared" si="32"/>
        <v>0</v>
      </c>
    </row>
    <row r="304" spans="1:52" ht="15.75" customHeight="1" x14ac:dyDescent="0.3">
      <c r="A304" s="1" t="s">
        <v>1051</v>
      </c>
      <c r="B304" s="2" t="s">
        <v>1052</v>
      </c>
      <c r="C304" s="2">
        <v>160000004</v>
      </c>
      <c r="D304" s="2" t="s">
        <v>983</v>
      </c>
      <c r="E304" s="1" t="s">
        <v>984</v>
      </c>
      <c r="F304" s="2" t="s">
        <v>67</v>
      </c>
      <c r="G304" s="2" t="s">
        <v>86</v>
      </c>
      <c r="H304" s="2" t="s">
        <v>87</v>
      </c>
      <c r="I304" s="2" t="s">
        <v>409</v>
      </c>
      <c r="J304" s="1" t="s">
        <v>985</v>
      </c>
      <c r="K304" s="1">
        <v>8</v>
      </c>
      <c r="L304" s="1" t="s">
        <v>986</v>
      </c>
      <c r="M304" s="1" t="s">
        <v>572</v>
      </c>
      <c r="N304" s="1" t="s">
        <v>573</v>
      </c>
      <c r="O304" s="1" t="s">
        <v>150</v>
      </c>
      <c r="P304" s="1" t="s">
        <v>11</v>
      </c>
      <c r="Q304" s="1" t="s">
        <v>80</v>
      </c>
      <c r="R304" s="2" t="s">
        <v>1053</v>
      </c>
      <c r="S304" s="2"/>
      <c r="AF304" s="12"/>
      <c r="AG304" s="12"/>
      <c r="AH304" s="12"/>
      <c r="AI304" s="12"/>
      <c r="AJ304" s="12"/>
      <c r="AK304" s="12"/>
      <c r="AL304" s="12"/>
      <c r="AM304" s="14">
        <v>28</v>
      </c>
      <c r="AN304" s="14">
        <v>24</v>
      </c>
      <c r="AO304" s="3">
        <f t="shared" si="40"/>
        <v>0.8571428571428571</v>
      </c>
      <c r="AP304" s="14"/>
      <c r="AQ304" s="14"/>
      <c r="AR304" s="3"/>
      <c r="AZ304" s="1">
        <f t="shared" si="32"/>
        <v>0</v>
      </c>
    </row>
    <row r="305" spans="1:52" ht="15.75" customHeight="1" x14ac:dyDescent="0.3">
      <c r="A305" s="1" t="s">
        <v>930</v>
      </c>
      <c r="B305" s="2" t="s">
        <v>1054</v>
      </c>
      <c r="C305" s="2" t="s">
        <v>910</v>
      </c>
      <c r="D305" s="2" t="s">
        <v>911</v>
      </c>
      <c r="E305" s="1" t="s">
        <v>912</v>
      </c>
      <c r="F305" s="2" t="s">
        <v>67</v>
      </c>
      <c r="G305" s="2" t="s">
        <v>68</v>
      </c>
      <c r="H305" s="2" t="s">
        <v>439</v>
      </c>
      <c r="I305" s="2" t="s">
        <v>409</v>
      </c>
      <c r="J305" s="1" t="s">
        <v>440</v>
      </c>
      <c r="K305" s="1">
        <v>6</v>
      </c>
      <c r="L305" s="1" t="s">
        <v>512</v>
      </c>
      <c r="M305" s="1" t="s">
        <v>490</v>
      </c>
      <c r="N305" s="1" t="s">
        <v>491</v>
      </c>
      <c r="O305" s="1" t="s">
        <v>108</v>
      </c>
      <c r="P305" s="1" t="s">
        <v>11</v>
      </c>
      <c r="Q305" s="1" t="s">
        <v>80</v>
      </c>
      <c r="R305" s="2" t="s">
        <v>932</v>
      </c>
      <c r="S305" s="2"/>
      <c r="AF305" s="12"/>
      <c r="AG305" s="12"/>
      <c r="AH305" s="12"/>
      <c r="AI305" s="12"/>
      <c r="AJ305" s="12"/>
      <c r="AK305" s="12"/>
      <c r="AL305" s="12"/>
      <c r="AM305" s="14">
        <v>34</v>
      </c>
      <c r="AN305" s="14"/>
      <c r="AO305" s="3">
        <f t="shared" si="40"/>
        <v>0</v>
      </c>
      <c r="AP305" s="14"/>
      <c r="AQ305" s="14"/>
      <c r="AR305" s="3"/>
      <c r="AZ305" s="1">
        <f t="shared" si="32"/>
        <v>0</v>
      </c>
    </row>
    <row r="306" spans="1:52" ht="15.75" customHeight="1" x14ac:dyDescent="0.3">
      <c r="A306" s="1" t="s">
        <v>1055</v>
      </c>
      <c r="B306" s="2" t="s">
        <v>1056</v>
      </c>
      <c r="C306" s="2">
        <v>160000021</v>
      </c>
      <c r="D306" s="2" t="s">
        <v>891</v>
      </c>
      <c r="E306" s="1" t="s">
        <v>892</v>
      </c>
      <c r="F306" s="2" t="s">
        <v>67</v>
      </c>
      <c r="G306" s="2" t="s">
        <v>86</v>
      </c>
      <c r="H306" s="2" t="s">
        <v>87</v>
      </c>
      <c r="I306" s="2" t="s">
        <v>409</v>
      </c>
      <c r="J306" s="1" t="s">
        <v>511</v>
      </c>
      <c r="K306" s="1">
        <v>6</v>
      </c>
      <c r="L306" s="1" t="s">
        <v>74</v>
      </c>
      <c r="M306" s="1" t="s">
        <v>73</v>
      </c>
      <c r="N306" s="1" t="s">
        <v>74</v>
      </c>
      <c r="O306" s="1" t="s">
        <v>74</v>
      </c>
      <c r="P306" s="1" t="s">
        <v>11</v>
      </c>
      <c r="Q306" s="1" t="s">
        <v>136</v>
      </c>
      <c r="R306" s="2" t="s">
        <v>1057</v>
      </c>
      <c r="S306" s="2"/>
      <c r="AF306" s="12"/>
      <c r="AG306" s="12"/>
      <c r="AH306" s="12"/>
      <c r="AI306" s="12"/>
      <c r="AJ306" s="12"/>
      <c r="AK306" s="12"/>
      <c r="AL306" s="12"/>
      <c r="AM306" s="14">
        <v>14</v>
      </c>
      <c r="AN306" s="14">
        <v>14</v>
      </c>
      <c r="AO306" s="3">
        <f t="shared" si="40"/>
        <v>1</v>
      </c>
      <c r="AP306" s="14"/>
      <c r="AQ306" s="14"/>
      <c r="AR306" s="3"/>
      <c r="AZ306" s="1">
        <f t="shared" si="32"/>
        <v>0</v>
      </c>
    </row>
    <row r="307" spans="1:52" ht="15.75" customHeight="1" x14ac:dyDescent="0.3">
      <c r="A307" s="1" t="s">
        <v>1058</v>
      </c>
      <c r="B307" s="2" t="s">
        <v>1059</v>
      </c>
      <c r="C307" s="2">
        <v>160000033</v>
      </c>
      <c r="D307" s="2" t="s">
        <v>976</v>
      </c>
      <c r="E307" s="1" t="s">
        <v>977</v>
      </c>
      <c r="F307" s="2" t="s">
        <v>67</v>
      </c>
      <c r="G307" s="2" t="s">
        <v>86</v>
      </c>
      <c r="H307" s="2" t="s">
        <v>87</v>
      </c>
      <c r="I307" s="2" t="s">
        <v>409</v>
      </c>
      <c r="J307" s="1" t="s">
        <v>460</v>
      </c>
      <c r="K307" s="1">
        <v>6</v>
      </c>
      <c r="L307" s="1" t="s">
        <v>978</v>
      </c>
      <c r="M307" s="1" t="s">
        <v>979</v>
      </c>
      <c r="N307" s="1" t="s">
        <v>463</v>
      </c>
      <c r="O307" s="1" t="s">
        <v>150</v>
      </c>
      <c r="P307" s="1" t="s">
        <v>11</v>
      </c>
      <c r="Q307" s="1" t="s">
        <v>141</v>
      </c>
      <c r="R307" s="2" t="s">
        <v>974</v>
      </c>
      <c r="S307" s="2"/>
      <c r="AF307" s="12"/>
      <c r="AG307" s="12"/>
      <c r="AH307" s="12"/>
      <c r="AI307" s="12"/>
      <c r="AJ307" s="12"/>
      <c r="AK307" s="12"/>
      <c r="AL307" s="12"/>
      <c r="AM307" s="14">
        <v>18</v>
      </c>
      <c r="AN307" s="14">
        <v>18</v>
      </c>
      <c r="AO307" s="3">
        <f t="shared" si="40"/>
        <v>1</v>
      </c>
      <c r="AP307" s="14"/>
      <c r="AQ307" s="14"/>
      <c r="AR307" s="3"/>
      <c r="AZ307" s="1">
        <f t="shared" si="32"/>
        <v>0</v>
      </c>
    </row>
    <row r="308" spans="1:52" ht="15.75" customHeight="1" x14ac:dyDescent="0.3">
      <c r="B308" s="1" t="s">
        <v>1060</v>
      </c>
      <c r="C308" s="2">
        <v>160000005</v>
      </c>
      <c r="D308" s="1" t="s">
        <v>989</v>
      </c>
      <c r="E308" s="1" t="s">
        <v>990</v>
      </c>
      <c r="F308" s="2" t="s">
        <v>67</v>
      </c>
      <c r="G308" s="2" t="s">
        <v>86</v>
      </c>
      <c r="H308" s="2" t="s">
        <v>87</v>
      </c>
      <c r="I308" s="2" t="s">
        <v>409</v>
      </c>
      <c r="J308" s="1" t="s">
        <v>125</v>
      </c>
      <c r="K308" s="1">
        <v>10</v>
      </c>
      <c r="L308" s="1" t="s">
        <v>991</v>
      </c>
      <c r="M308" s="1" t="s">
        <v>992</v>
      </c>
      <c r="N308" s="1" t="s">
        <v>991</v>
      </c>
      <c r="O308" s="1" t="s">
        <v>150</v>
      </c>
      <c r="P308" s="1" t="s">
        <v>11</v>
      </c>
      <c r="Q308" s="1" t="s">
        <v>141</v>
      </c>
      <c r="R308" s="1" t="s">
        <v>1061</v>
      </c>
      <c r="S308" s="2"/>
      <c r="AM308" s="14"/>
      <c r="AN308" s="14"/>
      <c r="AO308" s="14"/>
      <c r="AP308" s="14"/>
      <c r="AQ308" s="14"/>
      <c r="AZ308" s="1">
        <f t="shared" si="32"/>
        <v>0</v>
      </c>
    </row>
    <row r="309" spans="1:52" ht="15.75" customHeight="1" x14ac:dyDescent="0.3">
      <c r="A309" s="1" t="s">
        <v>1062</v>
      </c>
      <c r="B309" s="2" t="s">
        <v>1063</v>
      </c>
      <c r="C309" s="2">
        <v>160000004</v>
      </c>
      <c r="D309" s="2" t="s">
        <v>983</v>
      </c>
      <c r="E309" s="1" t="s">
        <v>984</v>
      </c>
      <c r="F309" s="2" t="s">
        <v>67</v>
      </c>
      <c r="G309" s="2" t="s">
        <v>86</v>
      </c>
      <c r="H309" s="2" t="s">
        <v>87</v>
      </c>
      <c r="I309" s="2" t="s">
        <v>409</v>
      </c>
      <c r="J309" s="1" t="s">
        <v>985</v>
      </c>
      <c r="K309" s="1">
        <v>8</v>
      </c>
      <c r="L309" s="1" t="s">
        <v>986</v>
      </c>
      <c r="M309" s="1" t="s">
        <v>572</v>
      </c>
      <c r="N309" s="1" t="s">
        <v>573</v>
      </c>
      <c r="O309" s="1" t="s">
        <v>150</v>
      </c>
      <c r="P309" s="1" t="s">
        <v>11</v>
      </c>
      <c r="Q309" s="1" t="s">
        <v>141</v>
      </c>
      <c r="R309" s="2" t="s">
        <v>1064</v>
      </c>
      <c r="S309" s="2"/>
      <c r="AF309" s="12"/>
      <c r="AG309" s="12"/>
      <c r="AH309" s="12"/>
      <c r="AI309" s="12"/>
      <c r="AJ309" s="12"/>
      <c r="AK309" s="12"/>
      <c r="AL309" s="12"/>
      <c r="AM309" s="14">
        <v>6</v>
      </c>
      <c r="AN309" s="14">
        <v>6</v>
      </c>
      <c r="AO309" s="3">
        <f t="shared" ref="AO309:AO312" si="41">AN309/AM309</f>
        <v>1</v>
      </c>
      <c r="AP309" s="14"/>
      <c r="AQ309" s="14"/>
      <c r="AR309" s="3"/>
      <c r="AZ309" s="1">
        <f t="shared" si="32"/>
        <v>0</v>
      </c>
    </row>
    <row r="310" spans="1:52" ht="15.75" customHeight="1" x14ac:dyDescent="0.3">
      <c r="A310" s="1" t="s">
        <v>1065</v>
      </c>
      <c r="B310" s="2" t="s">
        <v>1066</v>
      </c>
      <c r="C310" s="2">
        <v>160000004</v>
      </c>
      <c r="D310" s="2" t="s">
        <v>983</v>
      </c>
      <c r="E310" s="1" t="s">
        <v>984</v>
      </c>
      <c r="F310" s="2" t="s">
        <v>67</v>
      </c>
      <c r="G310" s="2" t="s">
        <v>86</v>
      </c>
      <c r="H310" s="2" t="s">
        <v>87</v>
      </c>
      <c r="I310" s="2" t="s">
        <v>409</v>
      </c>
      <c r="J310" s="1" t="s">
        <v>985</v>
      </c>
      <c r="K310" s="1">
        <v>8</v>
      </c>
      <c r="L310" s="1" t="s">
        <v>986</v>
      </c>
      <c r="M310" s="1" t="s">
        <v>572</v>
      </c>
      <c r="N310" s="1" t="s">
        <v>573</v>
      </c>
      <c r="O310" s="1" t="s">
        <v>150</v>
      </c>
      <c r="P310" s="1" t="s">
        <v>11</v>
      </c>
      <c r="Q310" s="1" t="s">
        <v>75</v>
      </c>
      <c r="R310" s="2" t="s">
        <v>294</v>
      </c>
      <c r="S310" s="2"/>
      <c r="AF310" s="12"/>
      <c r="AG310" s="12"/>
      <c r="AH310" s="12"/>
      <c r="AI310" s="12"/>
      <c r="AJ310" s="12"/>
      <c r="AK310" s="12"/>
      <c r="AL310" s="12"/>
      <c r="AM310" s="14">
        <v>4</v>
      </c>
      <c r="AN310" s="14">
        <v>4</v>
      </c>
      <c r="AO310" s="3">
        <f t="shared" si="41"/>
        <v>1</v>
      </c>
      <c r="AP310" s="14"/>
      <c r="AQ310" s="14"/>
      <c r="AR310" s="3"/>
      <c r="AZ310" s="1">
        <f t="shared" si="32"/>
        <v>0</v>
      </c>
    </row>
    <row r="311" spans="1:52" ht="15.75" customHeight="1" x14ac:dyDescent="0.3">
      <c r="A311" s="1" t="s">
        <v>1067</v>
      </c>
      <c r="B311" s="2" t="s">
        <v>1068</v>
      </c>
      <c r="C311" s="2">
        <v>160000004</v>
      </c>
      <c r="D311" s="2" t="s">
        <v>983</v>
      </c>
      <c r="E311" s="1" t="s">
        <v>984</v>
      </c>
      <c r="F311" s="2" t="s">
        <v>67</v>
      </c>
      <c r="G311" s="2" t="s">
        <v>86</v>
      </c>
      <c r="H311" s="2" t="s">
        <v>87</v>
      </c>
      <c r="I311" s="2" t="s">
        <v>409</v>
      </c>
      <c r="J311" s="1" t="s">
        <v>985</v>
      </c>
      <c r="K311" s="1">
        <v>8</v>
      </c>
      <c r="L311" s="1" t="s">
        <v>986</v>
      </c>
      <c r="M311" s="1" t="s">
        <v>572</v>
      </c>
      <c r="N311" s="1" t="s">
        <v>573</v>
      </c>
      <c r="O311" s="1" t="s">
        <v>150</v>
      </c>
      <c r="P311" s="1" t="s">
        <v>11</v>
      </c>
      <c r="Q311" s="1" t="s">
        <v>90</v>
      </c>
      <c r="R311" s="2" t="s">
        <v>1069</v>
      </c>
      <c r="S311" s="2"/>
      <c r="AF311" s="12"/>
      <c r="AG311" s="12"/>
      <c r="AH311" s="12"/>
      <c r="AI311" s="12"/>
      <c r="AJ311" s="12"/>
      <c r="AK311" s="12"/>
      <c r="AL311" s="12"/>
      <c r="AM311" s="14">
        <v>5</v>
      </c>
      <c r="AN311" s="14">
        <v>5</v>
      </c>
      <c r="AO311" s="3">
        <f t="shared" si="41"/>
        <v>1</v>
      </c>
      <c r="AP311" s="14"/>
      <c r="AQ311" s="14"/>
      <c r="AR311" s="3"/>
      <c r="AZ311" s="1">
        <f t="shared" si="32"/>
        <v>0</v>
      </c>
    </row>
    <row r="312" spans="1:52" ht="15.75" customHeight="1" x14ac:dyDescent="0.3">
      <c r="A312" s="1" t="s">
        <v>1070</v>
      </c>
      <c r="B312" s="2" t="s">
        <v>1071</v>
      </c>
      <c r="C312" s="2">
        <v>160000004</v>
      </c>
      <c r="D312" s="2" t="s">
        <v>983</v>
      </c>
      <c r="E312" s="1" t="s">
        <v>984</v>
      </c>
      <c r="F312" s="2" t="s">
        <v>67</v>
      </c>
      <c r="G312" s="2" t="s">
        <v>86</v>
      </c>
      <c r="H312" s="2" t="s">
        <v>87</v>
      </c>
      <c r="I312" s="2" t="s">
        <v>409</v>
      </c>
      <c r="J312" s="1" t="s">
        <v>985</v>
      </c>
      <c r="K312" s="1">
        <v>8</v>
      </c>
      <c r="L312" s="1" t="s">
        <v>986</v>
      </c>
      <c r="M312" s="1" t="s">
        <v>572</v>
      </c>
      <c r="N312" s="1" t="s">
        <v>573</v>
      </c>
      <c r="O312" s="1" t="s">
        <v>150</v>
      </c>
      <c r="P312" s="1" t="s">
        <v>11</v>
      </c>
      <c r="Q312" s="1" t="s">
        <v>80</v>
      </c>
      <c r="R312" s="2" t="s">
        <v>1072</v>
      </c>
      <c r="S312" s="2"/>
      <c r="AF312" s="12"/>
      <c r="AG312" s="12"/>
      <c r="AH312" s="12"/>
      <c r="AI312" s="12"/>
      <c r="AJ312" s="12"/>
      <c r="AK312" s="12"/>
      <c r="AL312" s="12"/>
      <c r="AM312" s="14">
        <v>9</v>
      </c>
      <c r="AN312" s="14">
        <v>7</v>
      </c>
      <c r="AO312" s="3">
        <f t="shared" si="41"/>
        <v>0.77777777777777779</v>
      </c>
      <c r="AP312" s="14"/>
      <c r="AQ312" s="14"/>
      <c r="AR312" s="3"/>
      <c r="AZ312" s="1">
        <f t="shared" si="32"/>
        <v>0</v>
      </c>
    </row>
    <row r="313" spans="1:52" ht="15.75" customHeight="1" x14ac:dyDescent="0.3">
      <c r="B313" s="1" t="s">
        <v>1073</v>
      </c>
      <c r="C313" s="2" t="s">
        <v>910</v>
      </c>
      <c r="D313" s="1" t="s">
        <v>911</v>
      </c>
      <c r="E313" s="1" t="s">
        <v>912</v>
      </c>
      <c r="F313" s="1" t="s">
        <v>67</v>
      </c>
      <c r="G313" s="1" t="s">
        <v>68</v>
      </c>
      <c r="H313" s="1" t="s">
        <v>439</v>
      </c>
      <c r="I313" s="1" t="s">
        <v>70</v>
      </c>
      <c r="J313" s="1" t="s">
        <v>440</v>
      </c>
      <c r="K313" s="1">
        <v>6</v>
      </c>
      <c r="L313" s="1" t="s">
        <v>512</v>
      </c>
      <c r="M313" s="1" t="s">
        <v>490</v>
      </c>
      <c r="N313" s="1" t="s">
        <v>491</v>
      </c>
      <c r="O313" s="1" t="s">
        <v>108</v>
      </c>
      <c r="P313" s="1" t="s">
        <v>11</v>
      </c>
      <c r="Q313" s="1" t="s">
        <v>80</v>
      </c>
      <c r="R313" s="1" t="s">
        <v>225</v>
      </c>
      <c r="S313" s="2"/>
      <c r="AE313" s="1" t="s">
        <v>138</v>
      </c>
      <c r="AM313" s="14">
        <v>29</v>
      </c>
      <c r="AN313" s="14"/>
      <c r="AO313" s="14"/>
      <c r="AP313" s="14"/>
      <c r="AQ313" s="14"/>
      <c r="AZ313" s="1">
        <f t="shared" si="32"/>
        <v>0</v>
      </c>
    </row>
    <row r="314" spans="1:52" ht="15.75" customHeight="1" x14ac:dyDescent="0.3">
      <c r="A314" s="1" t="s">
        <v>1074</v>
      </c>
      <c r="B314" s="2" t="s">
        <v>1075</v>
      </c>
      <c r="C314" s="2">
        <v>160000005</v>
      </c>
      <c r="D314" s="2" t="s">
        <v>989</v>
      </c>
      <c r="E314" s="1" t="s">
        <v>990</v>
      </c>
      <c r="F314" s="2" t="s">
        <v>67</v>
      </c>
      <c r="G314" s="2" t="s">
        <v>86</v>
      </c>
      <c r="H314" s="2" t="s">
        <v>87</v>
      </c>
      <c r="I314" s="2" t="s">
        <v>409</v>
      </c>
      <c r="J314" s="1" t="s">
        <v>125</v>
      </c>
      <c r="K314" s="1">
        <v>10</v>
      </c>
      <c r="L314" s="1" t="s">
        <v>991</v>
      </c>
      <c r="M314" s="1" t="s">
        <v>992</v>
      </c>
      <c r="N314" s="1" t="s">
        <v>991</v>
      </c>
      <c r="O314" s="1" t="s">
        <v>150</v>
      </c>
      <c r="P314" s="1" t="s">
        <v>11</v>
      </c>
      <c r="Q314" s="1" t="s">
        <v>80</v>
      </c>
      <c r="R314" s="2" t="s">
        <v>225</v>
      </c>
      <c r="S314" s="2"/>
      <c r="AF314" s="12"/>
      <c r="AG314" s="12"/>
      <c r="AH314" s="12"/>
      <c r="AI314" s="12"/>
      <c r="AJ314" s="12"/>
      <c r="AK314" s="12"/>
      <c r="AL314" s="12"/>
      <c r="AM314" s="14">
        <v>16</v>
      </c>
      <c r="AN314" s="14">
        <v>15</v>
      </c>
      <c r="AO314" s="3">
        <f t="shared" ref="AO314:AO317" si="42">AN314/AM314</f>
        <v>0.9375</v>
      </c>
      <c r="AP314" s="14"/>
      <c r="AQ314" s="14"/>
      <c r="AR314" s="3"/>
      <c r="AZ314" s="1">
        <f t="shared" si="32"/>
        <v>0</v>
      </c>
    </row>
    <row r="315" spans="1:52" ht="15.75" customHeight="1" x14ac:dyDescent="0.3">
      <c r="A315" s="1" t="s">
        <v>1076</v>
      </c>
      <c r="B315" s="2" t="s">
        <v>1077</v>
      </c>
      <c r="C315" s="2">
        <v>160000004</v>
      </c>
      <c r="D315" s="2" t="s">
        <v>983</v>
      </c>
      <c r="E315" s="1" t="s">
        <v>984</v>
      </c>
      <c r="F315" s="2" t="s">
        <v>67</v>
      </c>
      <c r="G315" s="2" t="s">
        <v>86</v>
      </c>
      <c r="H315" s="2" t="s">
        <v>87</v>
      </c>
      <c r="I315" s="2" t="s">
        <v>409</v>
      </c>
      <c r="J315" s="1" t="s">
        <v>985</v>
      </c>
      <c r="K315" s="1">
        <v>8</v>
      </c>
      <c r="L315" s="1" t="s">
        <v>986</v>
      </c>
      <c r="M315" s="1" t="s">
        <v>572</v>
      </c>
      <c r="N315" s="1" t="s">
        <v>573</v>
      </c>
      <c r="O315" s="1" t="s">
        <v>150</v>
      </c>
      <c r="P315" s="1" t="s">
        <v>11</v>
      </c>
      <c r="Q315" s="1" t="s">
        <v>75</v>
      </c>
      <c r="R315" s="2" t="s">
        <v>254</v>
      </c>
      <c r="S315" s="2"/>
      <c r="AF315" s="12"/>
      <c r="AG315" s="12"/>
      <c r="AH315" s="12"/>
      <c r="AI315" s="12"/>
      <c r="AJ315" s="12"/>
      <c r="AK315" s="12"/>
      <c r="AL315" s="12"/>
      <c r="AM315" s="14">
        <v>14</v>
      </c>
      <c r="AN315" s="14">
        <v>14</v>
      </c>
      <c r="AO315" s="3">
        <f t="shared" si="42"/>
        <v>1</v>
      </c>
      <c r="AP315" s="14"/>
      <c r="AQ315" s="14"/>
      <c r="AR315" s="3"/>
      <c r="AZ315" s="1">
        <f t="shared" si="32"/>
        <v>0</v>
      </c>
    </row>
    <row r="316" spans="1:52" ht="15.75" customHeight="1" x14ac:dyDescent="0.3">
      <c r="A316" s="1" t="s">
        <v>925</v>
      </c>
      <c r="B316" s="2" t="s">
        <v>1078</v>
      </c>
      <c r="C316" s="2" t="s">
        <v>910</v>
      </c>
      <c r="D316" s="2" t="s">
        <v>911</v>
      </c>
      <c r="E316" s="1" t="s">
        <v>912</v>
      </c>
      <c r="F316" s="2" t="s">
        <v>67</v>
      </c>
      <c r="G316" s="2" t="s">
        <v>68</v>
      </c>
      <c r="H316" s="2" t="s">
        <v>439</v>
      </c>
      <c r="I316" s="2" t="s">
        <v>409</v>
      </c>
      <c r="J316" s="1" t="s">
        <v>440</v>
      </c>
      <c r="K316" s="1">
        <v>6</v>
      </c>
      <c r="L316" s="1" t="s">
        <v>512</v>
      </c>
      <c r="M316" s="1" t="s">
        <v>490</v>
      </c>
      <c r="N316" s="1" t="s">
        <v>491</v>
      </c>
      <c r="O316" s="1" t="s">
        <v>108</v>
      </c>
      <c r="P316" s="1" t="s">
        <v>11</v>
      </c>
      <c r="Q316" s="1" t="s">
        <v>75</v>
      </c>
      <c r="R316" s="2" t="s">
        <v>927</v>
      </c>
      <c r="S316" s="2"/>
      <c r="AF316" s="12"/>
      <c r="AG316" s="12"/>
      <c r="AH316" s="12"/>
      <c r="AI316" s="12"/>
      <c r="AJ316" s="12"/>
      <c r="AK316" s="12"/>
      <c r="AL316" s="12"/>
      <c r="AM316" s="14">
        <v>93</v>
      </c>
      <c r="AN316" s="14"/>
      <c r="AO316" s="3">
        <f t="shared" si="42"/>
        <v>0</v>
      </c>
      <c r="AP316" s="14"/>
      <c r="AQ316" s="14"/>
      <c r="AR316" s="3"/>
      <c r="AZ316" s="1">
        <f t="shared" si="32"/>
        <v>0</v>
      </c>
    </row>
    <row r="317" spans="1:52" ht="15.75" customHeight="1" x14ac:dyDescent="0.3">
      <c r="A317" s="1" t="s">
        <v>1079</v>
      </c>
      <c r="B317" s="2" t="s">
        <v>1080</v>
      </c>
      <c r="C317" s="2">
        <v>260000038</v>
      </c>
      <c r="D317" s="1" t="s">
        <v>1081</v>
      </c>
      <c r="E317" s="1" t="s">
        <v>1082</v>
      </c>
      <c r="F317" s="1" t="s">
        <v>67</v>
      </c>
      <c r="G317" s="1" t="s">
        <v>68</v>
      </c>
      <c r="H317" s="1" t="s">
        <v>69</v>
      </c>
      <c r="I317" s="1" t="s">
        <v>70</v>
      </c>
      <c r="J317" s="1" t="s">
        <v>440</v>
      </c>
      <c r="K317" s="1">
        <v>6</v>
      </c>
      <c r="L317" s="1" t="s">
        <v>1083</v>
      </c>
      <c r="M317" s="1" t="s">
        <v>73</v>
      </c>
      <c r="N317" s="1" t="s">
        <v>74</v>
      </c>
      <c r="O317" s="1" t="s">
        <v>74</v>
      </c>
      <c r="P317" s="1" t="s">
        <v>12</v>
      </c>
      <c r="Q317" s="1" t="s">
        <v>80</v>
      </c>
      <c r="R317" s="1" t="s">
        <v>600</v>
      </c>
      <c r="S317" s="2"/>
      <c r="X317" s="1">
        <v>1</v>
      </c>
      <c r="AB317" s="1">
        <v>21</v>
      </c>
      <c r="AD317" s="1">
        <v>50</v>
      </c>
      <c r="AE317" s="1" t="s">
        <v>77</v>
      </c>
      <c r="AF317" s="12">
        <v>21</v>
      </c>
      <c r="AG317" s="12">
        <v>11</v>
      </c>
      <c r="AH317" s="12">
        <v>10</v>
      </c>
      <c r="AI317" s="13">
        <v>39.80952380952381</v>
      </c>
      <c r="AJ317" s="13">
        <v>52</v>
      </c>
      <c r="AK317" s="13">
        <v>32</v>
      </c>
      <c r="AL317" s="13">
        <v>5.4737468668092966</v>
      </c>
      <c r="AM317" s="14">
        <v>29</v>
      </c>
      <c r="AN317" s="14">
        <v>20</v>
      </c>
      <c r="AO317" s="3">
        <f t="shared" si="42"/>
        <v>0.68965517241379315</v>
      </c>
      <c r="AP317" s="14">
        <v>6</v>
      </c>
      <c r="AQ317" s="14">
        <v>15</v>
      </c>
      <c r="AR317" s="3">
        <f t="shared" ref="AR317:AR318" si="43">AP317/AQ317</f>
        <v>0.4</v>
      </c>
      <c r="AZ317" s="1">
        <f t="shared" si="32"/>
        <v>0</v>
      </c>
    </row>
    <row r="318" spans="1:52" ht="15.75" customHeight="1" x14ac:dyDescent="0.3">
      <c r="A318" s="1" t="s">
        <v>1084</v>
      </c>
      <c r="B318" s="2" t="s">
        <v>1085</v>
      </c>
      <c r="C318" s="2">
        <v>260000046</v>
      </c>
      <c r="D318" s="1" t="s">
        <v>1086</v>
      </c>
      <c r="E318" s="1" t="s">
        <v>1087</v>
      </c>
      <c r="F318" s="1" t="s">
        <v>67</v>
      </c>
      <c r="G318" s="1" t="s">
        <v>68</v>
      </c>
      <c r="H318" s="1" t="s">
        <v>69</v>
      </c>
      <c r="I318" s="1" t="s">
        <v>70</v>
      </c>
      <c r="J318" s="1" t="s">
        <v>440</v>
      </c>
      <c r="K318" s="1">
        <v>6</v>
      </c>
      <c r="L318" s="1" t="s">
        <v>986</v>
      </c>
      <c r="M318" s="1" t="s">
        <v>572</v>
      </c>
      <c r="N318" s="1" t="s">
        <v>573</v>
      </c>
      <c r="O318" s="1" t="s">
        <v>150</v>
      </c>
      <c r="P318" s="1" t="s">
        <v>12</v>
      </c>
      <c r="Q318" s="1" t="s">
        <v>75</v>
      </c>
      <c r="R318" s="1" t="s">
        <v>1088</v>
      </c>
      <c r="S318" s="2"/>
      <c r="T318" s="1">
        <v>33</v>
      </c>
      <c r="U318" s="1">
        <v>32</v>
      </c>
      <c r="X318" s="1">
        <v>18</v>
      </c>
      <c r="Y318" s="1">
        <v>11</v>
      </c>
      <c r="AA318" s="1">
        <v>13</v>
      </c>
      <c r="AE318" s="1" t="s">
        <v>1089</v>
      </c>
      <c r="AF318" s="12">
        <v>26</v>
      </c>
      <c r="AG318" s="12">
        <v>10</v>
      </c>
      <c r="AH318" s="12">
        <v>16</v>
      </c>
      <c r="AI318" s="1">
        <v>40</v>
      </c>
      <c r="AJ318" s="1">
        <v>51</v>
      </c>
      <c r="AK318" s="1">
        <v>27</v>
      </c>
      <c r="AL318" s="1">
        <v>8.2267855204812541</v>
      </c>
      <c r="AM318" s="14"/>
      <c r="AN318" s="14"/>
      <c r="AO318" s="3"/>
      <c r="AP318" s="14">
        <v>0</v>
      </c>
      <c r="AQ318" s="14">
        <v>26</v>
      </c>
      <c r="AR318" s="3">
        <f t="shared" si="43"/>
        <v>0</v>
      </c>
      <c r="AS318" s="1">
        <v>1</v>
      </c>
      <c r="AT318" s="1">
        <v>0</v>
      </c>
      <c r="AU318" s="1">
        <v>0</v>
      </c>
      <c r="AV318" s="1">
        <v>7</v>
      </c>
      <c r="AW318" s="1">
        <v>0</v>
      </c>
      <c r="AX318" s="1">
        <v>0</v>
      </c>
      <c r="AY318" s="1">
        <v>0</v>
      </c>
      <c r="AZ318" s="1">
        <f t="shared" si="32"/>
        <v>8</v>
      </c>
    </row>
    <row r="319" spans="1:52" ht="15.75" customHeight="1" x14ac:dyDescent="0.3">
      <c r="A319" s="1" t="s">
        <v>1090</v>
      </c>
      <c r="B319" s="2" t="s">
        <v>1091</v>
      </c>
      <c r="C319" s="2">
        <v>260000038</v>
      </c>
      <c r="D319" s="1" t="s">
        <v>1081</v>
      </c>
      <c r="E319" s="1" t="s">
        <v>1082</v>
      </c>
      <c r="F319" s="1" t="s">
        <v>67</v>
      </c>
      <c r="G319" s="1" t="s">
        <v>68</v>
      </c>
      <c r="H319" s="1" t="s">
        <v>69</v>
      </c>
      <c r="I319" s="1" t="s">
        <v>70</v>
      </c>
      <c r="J319" s="1" t="s">
        <v>440</v>
      </c>
      <c r="K319" s="1">
        <v>6</v>
      </c>
      <c r="L319" s="1" t="s">
        <v>1083</v>
      </c>
      <c r="M319" s="1" t="s">
        <v>73</v>
      </c>
      <c r="N319" s="1" t="s">
        <v>74</v>
      </c>
      <c r="O319" s="1" t="s">
        <v>74</v>
      </c>
      <c r="P319" s="1" t="s">
        <v>12</v>
      </c>
      <c r="Q319" s="1" t="s">
        <v>80</v>
      </c>
      <c r="R319" s="1" t="s">
        <v>1092</v>
      </c>
      <c r="S319" s="2"/>
      <c r="X319" s="1">
        <v>1</v>
      </c>
      <c r="AE319" s="1" t="s">
        <v>726</v>
      </c>
      <c r="AF319" s="12">
        <v>2</v>
      </c>
      <c r="AG319" s="12">
        <v>2</v>
      </c>
      <c r="AH319" s="12">
        <v>0</v>
      </c>
      <c r="AI319" s="12">
        <v>40</v>
      </c>
      <c r="AJ319" s="12">
        <v>40</v>
      </c>
      <c r="AK319" s="12">
        <v>40</v>
      </c>
      <c r="AL319" s="12">
        <v>0</v>
      </c>
      <c r="AM319" s="14">
        <v>8</v>
      </c>
      <c r="AN319" s="14">
        <v>3</v>
      </c>
      <c r="AO319" s="3">
        <f>AN319/AM319</f>
        <v>0.375</v>
      </c>
      <c r="AP319" s="14">
        <v>0</v>
      </c>
      <c r="AQ319" s="14">
        <v>0</v>
      </c>
      <c r="AR319" s="3"/>
      <c r="AZ319" s="1">
        <f t="shared" si="32"/>
        <v>0</v>
      </c>
    </row>
    <row r="320" spans="1:52" ht="15.75" customHeight="1" x14ac:dyDescent="0.3">
      <c r="A320" s="1" t="s">
        <v>1093</v>
      </c>
      <c r="B320" s="2" t="s">
        <v>1094</v>
      </c>
      <c r="C320" s="2">
        <v>260000038</v>
      </c>
      <c r="D320" s="1" t="s">
        <v>1081</v>
      </c>
      <c r="E320" s="1" t="s">
        <v>1082</v>
      </c>
      <c r="F320" s="1" t="s">
        <v>67</v>
      </c>
      <c r="G320" s="1" t="s">
        <v>68</v>
      </c>
      <c r="H320" s="1" t="s">
        <v>69</v>
      </c>
      <c r="I320" s="1" t="s">
        <v>70</v>
      </c>
      <c r="J320" s="1" t="s">
        <v>440</v>
      </c>
      <c r="K320" s="1">
        <v>6</v>
      </c>
      <c r="L320" s="1" t="s">
        <v>1083</v>
      </c>
      <c r="M320" s="1" t="s">
        <v>73</v>
      </c>
      <c r="N320" s="1" t="s">
        <v>74</v>
      </c>
      <c r="O320" s="1" t="s">
        <v>74</v>
      </c>
      <c r="P320" s="1" t="s">
        <v>12</v>
      </c>
      <c r="Q320" s="1" t="s">
        <v>75</v>
      </c>
      <c r="R320" s="1" t="s">
        <v>561</v>
      </c>
      <c r="S320" s="2"/>
      <c r="AD320" s="1">
        <v>24</v>
      </c>
      <c r="AE320" s="1" t="s">
        <v>138</v>
      </c>
      <c r="AF320" s="12">
        <v>48</v>
      </c>
      <c r="AG320" s="12">
        <v>44</v>
      </c>
      <c r="AH320" s="12">
        <v>4</v>
      </c>
      <c r="AI320" s="12">
        <v>41.130434782608695</v>
      </c>
      <c r="AJ320" s="12">
        <v>70</v>
      </c>
      <c r="AK320" s="12">
        <v>27</v>
      </c>
      <c r="AL320" s="12">
        <v>12.786466275197514</v>
      </c>
      <c r="AM320" s="14"/>
      <c r="AN320" s="14"/>
      <c r="AO320" s="3"/>
      <c r="AP320" s="14">
        <v>20</v>
      </c>
      <c r="AQ320" s="14">
        <v>24</v>
      </c>
      <c r="AR320" s="3">
        <f t="shared" ref="AR320:AR335" si="44">AP320/AQ320</f>
        <v>0.83333333333333337</v>
      </c>
      <c r="AZ320" s="1">
        <f t="shared" si="32"/>
        <v>0</v>
      </c>
    </row>
    <row r="321" spans="1:52" ht="15.75" customHeight="1" x14ac:dyDescent="0.3">
      <c r="A321" s="1" t="s">
        <v>1095</v>
      </c>
      <c r="B321" s="2" t="s">
        <v>1096</v>
      </c>
      <c r="C321" s="2">
        <v>160000051</v>
      </c>
      <c r="D321" s="1" t="s">
        <v>1097</v>
      </c>
      <c r="E321" s="1" t="s">
        <v>1098</v>
      </c>
      <c r="F321" s="1" t="s">
        <v>67</v>
      </c>
      <c r="G321" s="1" t="s">
        <v>86</v>
      </c>
      <c r="H321" s="1" t="s">
        <v>87</v>
      </c>
      <c r="I321" s="1" t="s">
        <v>70</v>
      </c>
      <c r="J321" s="1" t="s">
        <v>460</v>
      </c>
      <c r="K321" s="1">
        <v>6</v>
      </c>
      <c r="L321" s="1" t="s">
        <v>1099</v>
      </c>
      <c r="M321" s="1" t="s">
        <v>1100</v>
      </c>
      <c r="N321" s="1" t="s">
        <v>1099</v>
      </c>
      <c r="O321" s="1" t="s">
        <v>108</v>
      </c>
      <c r="P321" s="1" t="s">
        <v>12</v>
      </c>
      <c r="Q321" s="1" t="s">
        <v>195</v>
      </c>
      <c r="R321" s="1" t="s">
        <v>999</v>
      </c>
      <c r="S321" s="2"/>
      <c r="T321" s="1">
        <v>32</v>
      </c>
      <c r="W321" s="1">
        <v>40</v>
      </c>
      <c r="AE321" s="1" t="s">
        <v>513</v>
      </c>
      <c r="AF321" s="12">
        <v>80</v>
      </c>
      <c r="AG321" s="12">
        <v>16</v>
      </c>
      <c r="AH321" s="12">
        <v>64</v>
      </c>
      <c r="AI321" s="12">
        <v>41.15</v>
      </c>
      <c r="AJ321" s="12">
        <v>66</v>
      </c>
      <c r="AK321" s="12">
        <v>28</v>
      </c>
      <c r="AL321" s="12">
        <v>9.7579568311705245</v>
      </c>
      <c r="AM321" s="14">
        <v>33</v>
      </c>
      <c r="AN321" s="14">
        <v>33</v>
      </c>
      <c r="AO321" s="3">
        <f t="shared" ref="AO321:AO330" si="45">AN321/AM321</f>
        <v>1</v>
      </c>
      <c r="AP321" s="14">
        <v>0</v>
      </c>
      <c r="AQ321" s="14">
        <v>80</v>
      </c>
      <c r="AR321" s="3">
        <f t="shared" si="44"/>
        <v>0</v>
      </c>
      <c r="AZ321" s="1">
        <f t="shared" si="32"/>
        <v>0</v>
      </c>
    </row>
    <row r="322" spans="1:52" ht="15.75" customHeight="1" x14ac:dyDescent="0.3">
      <c r="A322" s="1" t="s">
        <v>1101</v>
      </c>
      <c r="B322" s="2" t="s">
        <v>1102</v>
      </c>
      <c r="C322" s="2">
        <v>260000046</v>
      </c>
      <c r="D322" s="1" t="s">
        <v>1086</v>
      </c>
      <c r="E322" s="1" t="s">
        <v>1087</v>
      </c>
      <c r="F322" s="1" t="s">
        <v>67</v>
      </c>
      <c r="G322" s="1" t="s">
        <v>68</v>
      </c>
      <c r="H322" s="1" t="s">
        <v>69</v>
      </c>
      <c r="I322" s="1" t="s">
        <v>70</v>
      </c>
      <c r="J322" s="1" t="s">
        <v>440</v>
      </c>
      <c r="K322" s="1">
        <v>6</v>
      </c>
      <c r="L322" s="1" t="s">
        <v>986</v>
      </c>
      <c r="M322" s="1" t="s">
        <v>572</v>
      </c>
      <c r="N322" s="1" t="s">
        <v>573</v>
      </c>
      <c r="O322" s="1" t="s">
        <v>150</v>
      </c>
      <c r="P322" s="1" t="s">
        <v>12</v>
      </c>
      <c r="Q322" s="1" t="s">
        <v>80</v>
      </c>
      <c r="R322" s="1" t="s">
        <v>109</v>
      </c>
      <c r="S322" s="2"/>
      <c r="T322" s="1">
        <v>43</v>
      </c>
      <c r="U322" s="1">
        <v>43</v>
      </c>
      <c r="X322" s="1">
        <v>49</v>
      </c>
      <c r="Y322" s="1">
        <v>47</v>
      </c>
      <c r="AA322" s="1">
        <v>47</v>
      </c>
      <c r="AB322" s="1">
        <v>14</v>
      </c>
      <c r="AC322" s="1">
        <v>42</v>
      </c>
      <c r="AE322" s="1" t="s">
        <v>77</v>
      </c>
      <c r="AF322" s="12">
        <v>14</v>
      </c>
      <c r="AG322" s="12">
        <v>9</v>
      </c>
      <c r="AH322" s="12">
        <v>5</v>
      </c>
      <c r="AI322" s="13">
        <v>41.5</v>
      </c>
      <c r="AJ322" s="13">
        <v>58</v>
      </c>
      <c r="AK322" s="13">
        <v>26</v>
      </c>
      <c r="AL322" s="13">
        <v>9.6854371252769127</v>
      </c>
      <c r="AM322" s="14">
        <v>31</v>
      </c>
      <c r="AN322" s="14">
        <v>31</v>
      </c>
      <c r="AO322" s="3">
        <f t="shared" si="45"/>
        <v>1</v>
      </c>
      <c r="AP322" s="14">
        <v>0</v>
      </c>
      <c r="AQ322" s="14">
        <v>14</v>
      </c>
      <c r="AR322" s="3">
        <f t="shared" si="44"/>
        <v>0</v>
      </c>
      <c r="AS322" s="1">
        <v>0</v>
      </c>
      <c r="AT322" s="1">
        <v>15</v>
      </c>
      <c r="AU322" s="1">
        <v>0</v>
      </c>
      <c r="AV322" s="1">
        <v>14</v>
      </c>
      <c r="AW322" s="1">
        <v>0</v>
      </c>
      <c r="AX322" s="1">
        <v>0</v>
      </c>
      <c r="AY322" s="1">
        <v>0</v>
      </c>
      <c r="AZ322" s="1">
        <f t="shared" si="32"/>
        <v>29</v>
      </c>
    </row>
    <row r="323" spans="1:52" ht="15.75" customHeight="1" x14ac:dyDescent="0.3">
      <c r="A323" s="1" t="s">
        <v>1103</v>
      </c>
      <c r="B323" s="2" t="s">
        <v>1104</v>
      </c>
      <c r="C323" s="2">
        <v>160000051</v>
      </c>
      <c r="D323" s="1" t="s">
        <v>1097</v>
      </c>
      <c r="E323" s="1" t="s">
        <v>1098</v>
      </c>
      <c r="F323" s="1" t="s">
        <v>67</v>
      </c>
      <c r="G323" s="1" t="s">
        <v>86</v>
      </c>
      <c r="H323" s="1" t="s">
        <v>87</v>
      </c>
      <c r="I323" s="1" t="s">
        <v>70</v>
      </c>
      <c r="J323" s="1" t="s">
        <v>460</v>
      </c>
      <c r="K323" s="1">
        <v>6</v>
      </c>
      <c r="L323" s="1" t="s">
        <v>1099</v>
      </c>
      <c r="M323" s="1" t="s">
        <v>1100</v>
      </c>
      <c r="N323" s="1" t="s">
        <v>1099</v>
      </c>
      <c r="O323" s="1" t="s">
        <v>108</v>
      </c>
      <c r="P323" s="1" t="s">
        <v>12</v>
      </c>
      <c r="Q323" s="1" t="s">
        <v>80</v>
      </c>
      <c r="R323" s="1" t="s">
        <v>759</v>
      </c>
      <c r="S323" s="2"/>
      <c r="W323" s="1">
        <v>74</v>
      </c>
      <c r="AE323" s="1" t="s">
        <v>513</v>
      </c>
      <c r="AF323" s="12">
        <v>148</v>
      </c>
      <c r="AG323" s="12">
        <v>64</v>
      </c>
      <c r="AH323" s="12">
        <v>84</v>
      </c>
      <c r="AI323" s="12">
        <v>42.315068493150683</v>
      </c>
      <c r="AJ323" s="12">
        <v>64</v>
      </c>
      <c r="AK323" s="12">
        <v>28</v>
      </c>
      <c r="AL323" s="12">
        <v>10.258556344395563</v>
      </c>
      <c r="AM323" s="14">
        <v>19</v>
      </c>
      <c r="AN323" s="14">
        <v>19</v>
      </c>
      <c r="AO323" s="3">
        <f t="shared" si="45"/>
        <v>1</v>
      </c>
      <c r="AP323" s="14">
        <v>0</v>
      </c>
      <c r="AQ323" s="14">
        <v>148</v>
      </c>
      <c r="AR323" s="3">
        <f t="shared" si="44"/>
        <v>0</v>
      </c>
      <c r="AZ323" s="1">
        <f t="shared" si="32"/>
        <v>0</v>
      </c>
    </row>
    <row r="324" spans="1:52" ht="15.75" customHeight="1" x14ac:dyDescent="0.3">
      <c r="A324" s="1" t="s">
        <v>1105</v>
      </c>
      <c r="B324" s="2" t="s">
        <v>1106</v>
      </c>
      <c r="C324" s="2">
        <v>160000051</v>
      </c>
      <c r="D324" s="1" t="s">
        <v>1097</v>
      </c>
      <c r="E324" s="1" t="s">
        <v>1098</v>
      </c>
      <c r="F324" s="1" t="s">
        <v>67</v>
      </c>
      <c r="G324" s="1" t="s">
        <v>86</v>
      </c>
      <c r="H324" s="1" t="s">
        <v>87</v>
      </c>
      <c r="I324" s="1" t="s">
        <v>70</v>
      </c>
      <c r="J324" s="1" t="s">
        <v>460</v>
      </c>
      <c r="K324" s="1">
        <v>6</v>
      </c>
      <c r="L324" s="1" t="s">
        <v>1099</v>
      </c>
      <c r="M324" s="1" t="s">
        <v>1100</v>
      </c>
      <c r="N324" s="1" t="s">
        <v>1099</v>
      </c>
      <c r="O324" s="1" t="s">
        <v>108</v>
      </c>
      <c r="P324" s="1" t="s">
        <v>12</v>
      </c>
      <c r="Q324" s="1" t="s">
        <v>90</v>
      </c>
      <c r="R324" s="1" t="s">
        <v>417</v>
      </c>
      <c r="S324" s="2"/>
      <c r="T324" s="1">
        <v>30</v>
      </c>
      <c r="W324" s="1">
        <v>38</v>
      </c>
      <c r="AE324" s="1" t="s">
        <v>513</v>
      </c>
      <c r="AF324" s="12">
        <v>76</v>
      </c>
      <c r="AG324" s="12">
        <v>12</v>
      </c>
      <c r="AH324" s="12">
        <v>64</v>
      </c>
      <c r="AI324" s="12">
        <v>42.342105263157897</v>
      </c>
      <c r="AJ324" s="12">
        <v>67</v>
      </c>
      <c r="AK324" s="12">
        <v>26</v>
      </c>
      <c r="AL324" s="12">
        <v>10.367323835434673</v>
      </c>
      <c r="AM324" s="14">
        <v>27</v>
      </c>
      <c r="AN324" s="14">
        <v>27</v>
      </c>
      <c r="AO324" s="3">
        <f t="shared" si="45"/>
        <v>1</v>
      </c>
      <c r="AP324" s="14">
        <v>2</v>
      </c>
      <c r="AQ324" s="14">
        <v>74</v>
      </c>
      <c r="AR324" s="3">
        <f t="shared" si="44"/>
        <v>2.7027027027027029E-2</v>
      </c>
      <c r="AZ324" s="1">
        <f t="shared" si="32"/>
        <v>0</v>
      </c>
    </row>
    <row r="325" spans="1:52" ht="15.75" customHeight="1" x14ac:dyDescent="0.3">
      <c r="A325" s="1" t="s">
        <v>1107</v>
      </c>
      <c r="B325" s="2" t="s">
        <v>1108</v>
      </c>
      <c r="C325" s="2">
        <v>160000051</v>
      </c>
      <c r="D325" s="1" t="s">
        <v>1097</v>
      </c>
      <c r="E325" s="1" t="s">
        <v>1098</v>
      </c>
      <c r="F325" s="1" t="s">
        <v>67</v>
      </c>
      <c r="G325" s="1" t="s">
        <v>86</v>
      </c>
      <c r="H325" s="1" t="s">
        <v>87</v>
      </c>
      <c r="I325" s="1" t="s">
        <v>70</v>
      </c>
      <c r="J325" s="1" t="s">
        <v>460</v>
      </c>
      <c r="K325" s="1">
        <v>6</v>
      </c>
      <c r="L325" s="1" t="s">
        <v>1099</v>
      </c>
      <c r="M325" s="1" t="s">
        <v>1100</v>
      </c>
      <c r="N325" s="1" t="s">
        <v>1099</v>
      </c>
      <c r="O325" s="1" t="s">
        <v>108</v>
      </c>
      <c r="P325" s="1" t="s">
        <v>12</v>
      </c>
      <c r="Q325" s="1" t="s">
        <v>75</v>
      </c>
      <c r="R325" s="1" t="s">
        <v>477</v>
      </c>
      <c r="S325" s="2"/>
      <c r="T325" s="1">
        <v>62</v>
      </c>
      <c r="W325" s="1">
        <v>91</v>
      </c>
      <c r="AE325" s="1" t="s">
        <v>513</v>
      </c>
      <c r="AF325" s="12">
        <v>182</v>
      </c>
      <c r="AG325" s="12">
        <v>98</v>
      </c>
      <c r="AH325" s="12">
        <v>84</v>
      </c>
      <c r="AI325" s="12">
        <v>42.730337078651687</v>
      </c>
      <c r="AJ325" s="12">
        <v>63</v>
      </c>
      <c r="AK325" s="12">
        <v>27</v>
      </c>
      <c r="AL325" s="12">
        <v>7.728096870618808</v>
      </c>
      <c r="AM325" s="14">
        <v>18</v>
      </c>
      <c r="AN325" s="14">
        <v>18</v>
      </c>
      <c r="AO325" s="3">
        <f t="shared" si="45"/>
        <v>1</v>
      </c>
      <c r="AP325" s="14">
        <v>0</v>
      </c>
      <c r="AQ325" s="14">
        <v>180</v>
      </c>
      <c r="AR325" s="3">
        <f t="shared" si="44"/>
        <v>0</v>
      </c>
      <c r="AZ325" s="1">
        <f t="shared" si="32"/>
        <v>0</v>
      </c>
    </row>
    <row r="326" spans="1:52" ht="15.75" customHeight="1" x14ac:dyDescent="0.3">
      <c r="A326" s="1" t="s">
        <v>1109</v>
      </c>
      <c r="B326" s="2" t="s">
        <v>1110</v>
      </c>
      <c r="C326" s="2">
        <v>260000038</v>
      </c>
      <c r="D326" s="1" t="s">
        <v>1081</v>
      </c>
      <c r="E326" s="1" t="s">
        <v>1082</v>
      </c>
      <c r="F326" s="1" t="s">
        <v>67</v>
      </c>
      <c r="G326" s="1" t="s">
        <v>68</v>
      </c>
      <c r="H326" s="1" t="s">
        <v>69</v>
      </c>
      <c r="I326" s="1" t="s">
        <v>70</v>
      </c>
      <c r="J326" s="1" t="s">
        <v>440</v>
      </c>
      <c r="K326" s="1">
        <v>6</v>
      </c>
      <c r="L326" s="1" t="s">
        <v>1083</v>
      </c>
      <c r="M326" s="1" t="s">
        <v>73</v>
      </c>
      <c r="N326" s="1" t="s">
        <v>74</v>
      </c>
      <c r="O326" s="1" t="s">
        <v>74</v>
      </c>
      <c r="P326" s="1" t="s">
        <v>12</v>
      </c>
      <c r="Q326" s="1" t="s">
        <v>80</v>
      </c>
      <c r="R326" s="1" t="s">
        <v>1111</v>
      </c>
      <c r="S326" s="2"/>
      <c r="AB326" s="1">
        <v>27</v>
      </c>
      <c r="AD326" s="1">
        <v>28</v>
      </c>
      <c r="AE326" s="1" t="s">
        <v>77</v>
      </c>
      <c r="AF326" s="12">
        <v>27</v>
      </c>
      <c r="AG326" s="12">
        <v>7</v>
      </c>
      <c r="AH326" s="12">
        <v>20</v>
      </c>
      <c r="AI326" s="13">
        <v>42.851851851851855</v>
      </c>
      <c r="AJ326" s="13">
        <v>56</v>
      </c>
      <c r="AK326" s="13">
        <v>32</v>
      </c>
      <c r="AL326" s="13">
        <v>7.3311962698074584</v>
      </c>
      <c r="AM326" s="14">
        <v>34</v>
      </c>
      <c r="AN326" s="14">
        <v>23</v>
      </c>
      <c r="AO326" s="3">
        <f t="shared" si="45"/>
        <v>0.67647058823529416</v>
      </c>
      <c r="AP326" s="14">
        <v>1</v>
      </c>
      <c r="AQ326" s="14">
        <v>25</v>
      </c>
      <c r="AR326" s="3">
        <f t="shared" si="44"/>
        <v>0.04</v>
      </c>
      <c r="AZ326" s="1">
        <f t="shared" si="32"/>
        <v>0</v>
      </c>
    </row>
    <row r="327" spans="1:52" ht="15.75" customHeight="1" x14ac:dyDescent="0.3">
      <c r="A327" s="1" t="s">
        <v>1112</v>
      </c>
      <c r="B327" s="2" t="s">
        <v>1113</v>
      </c>
      <c r="C327" s="2">
        <v>160000051</v>
      </c>
      <c r="D327" s="1" t="s">
        <v>1097</v>
      </c>
      <c r="E327" s="1" t="s">
        <v>1098</v>
      </c>
      <c r="F327" s="1" t="s">
        <v>67</v>
      </c>
      <c r="G327" s="1" t="s">
        <v>86</v>
      </c>
      <c r="H327" s="1" t="s">
        <v>87</v>
      </c>
      <c r="I327" s="1" t="s">
        <v>70</v>
      </c>
      <c r="J327" s="1" t="s">
        <v>460</v>
      </c>
      <c r="K327" s="1">
        <v>6</v>
      </c>
      <c r="L327" s="1" t="s">
        <v>1099</v>
      </c>
      <c r="M327" s="1" t="s">
        <v>1100</v>
      </c>
      <c r="N327" s="1" t="s">
        <v>1099</v>
      </c>
      <c r="O327" s="1" t="s">
        <v>108</v>
      </c>
      <c r="P327" s="1" t="s">
        <v>12</v>
      </c>
      <c r="Q327" s="1" t="s">
        <v>80</v>
      </c>
      <c r="R327" s="1" t="s">
        <v>534</v>
      </c>
      <c r="S327" s="2"/>
      <c r="T327" s="1">
        <v>86</v>
      </c>
      <c r="W327" s="1">
        <v>106</v>
      </c>
      <c r="AE327" s="1" t="s">
        <v>513</v>
      </c>
      <c r="AF327" s="12">
        <v>212</v>
      </c>
      <c r="AG327" s="12">
        <v>92</v>
      </c>
      <c r="AH327" s="12">
        <v>120</v>
      </c>
      <c r="AI327" s="12">
        <v>44.226415094339622</v>
      </c>
      <c r="AJ327" s="12">
        <v>65</v>
      </c>
      <c r="AK327" s="12">
        <v>25</v>
      </c>
      <c r="AL327" s="12">
        <v>7.9647124811539021</v>
      </c>
      <c r="AM327" s="14">
        <v>40</v>
      </c>
      <c r="AN327" s="14">
        <v>40</v>
      </c>
      <c r="AO327" s="3">
        <f t="shared" si="45"/>
        <v>1</v>
      </c>
      <c r="AP327" s="14">
        <v>2</v>
      </c>
      <c r="AQ327" s="14">
        <v>210</v>
      </c>
      <c r="AR327" s="3">
        <f t="shared" si="44"/>
        <v>9.5238095238095247E-3</v>
      </c>
      <c r="AZ327" s="1">
        <f t="shared" si="32"/>
        <v>0</v>
      </c>
    </row>
    <row r="328" spans="1:52" ht="15.75" customHeight="1" x14ac:dyDescent="0.3">
      <c r="A328" s="1" t="s">
        <v>1114</v>
      </c>
      <c r="B328" s="2" t="s">
        <v>1115</v>
      </c>
      <c r="C328" s="2">
        <v>260000046</v>
      </c>
      <c r="D328" s="1" t="s">
        <v>1086</v>
      </c>
      <c r="E328" s="1" t="s">
        <v>1087</v>
      </c>
      <c r="F328" s="1" t="s">
        <v>67</v>
      </c>
      <c r="G328" s="1" t="s">
        <v>68</v>
      </c>
      <c r="H328" s="1" t="s">
        <v>69</v>
      </c>
      <c r="I328" s="1" t="s">
        <v>70</v>
      </c>
      <c r="J328" s="1" t="s">
        <v>440</v>
      </c>
      <c r="K328" s="1">
        <v>6</v>
      </c>
      <c r="L328" s="1" t="s">
        <v>986</v>
      </c>
      <c r="M328" s="1" t="s">
        <v>572</v>
      </c>
      <c r="N328" s="1" t="s">
        <v>573</v>
      </c>
      <c r="O328" s="1" t="s">
        <v>150</v>
      </c>
      <c r="P328" s="1" t="s">
        <v>12</v>
      </c>
      <c r="Q328" s="1" t="s">
        <v>80</v>
      </c>
      <c r="R328" s="1" t="s">
        <v>192</v>
      </c>
      <c r="S328" s="2"/>
      <c r="T328" s="1">
        <v>26</v>
      </c>
      <c r="U328" s="1">
        <v>25</v>
      </c>
      <c r="X328" s="1">
        <v>22</v>
      </c>
      <c r="Y328" s="1">
        <v>21</v>
      </c>
      <c r="AA328" s="1">
        <v>21</v>
      </c>
      <c r="AB328" s="1">
        <v>17</v>
      </c>
      <c r="AC328" s="1">
        <v>14</v>
      </c>
      <c r="AE328" s="1" t="s">
        <v>77</v>
      </c>
      <c r="AF328" s="12">
        <v>17</v>
      </c>
      <c r="AG328" s="12">
        <v>8</v>
      </c>
      <c r="AH328" s="12">
        <v>9</v>
      </c>
      <c r="AI328" s="13">
        <v>44.529411764705884</v>
      </c>
      <c r="AJ328" s="13">
        <v>67</v>
      </c>
      <c r="AK328" s="13">
        <v>28</v>
      </c>
      <c r="AL328" s="13">
        <v>11.70532809802242</v>
      </c>
      <c r="AM328" s="14">
        <v>18</v>
      </c>
      <c r="AN328" s="14">
        <v>18</v>
      </c>
      <c r="AO328" s="3">
        <f t="shared" si="45"/>
        <v>1</v>
      </c>
      <c r="AP328" s="14">
        <v>0</v>
      </c>
      <c r="AQ328" s="14">
        <v>17</v>
      </c>
      <c r="AR328" s="3">
        <f t="shared" si="44"/>
        <v>0</v>
      </c>
      <c r="AS328" s="1">
        <v>0</v>
      </c>
      <c r="AT328" s="1">
        <v>0</v>
      </c>
      <c r="AU328" s="1">
        <v>0</v>
      </c>
      <c r="AV328" s="1">
        <v>8</v>
      </c>
      <c r="AW328" s="1">
        <v>0</v>
      </c>
      <c r="AX328" s="1">
        <v>0</v>
      </c>
      <c r="AY328" s="1">
        <v>0</v>
      </c>
      <c r="AZ328" s="1">
        <f t="shared" si="32"/>
        <v>8</v>
      </c>
    </row>
    <row r="329" spans="1:52" ht="15.75" customHeight="1" x14ac:dyDescent="0.3">
      <c r="A329" s="1" t="s">
        <v>1116</v>
      </c>
      <c r="B329" s="2" t="s">
        <v>1117</v>
      </c>
      <c r="C329" s="2">
        <v>260000046</v>
      </c>
      <c r="D329" s="1" t="s">
        <v>1086</v>
      </c>
      <c r="E329" s="1" t="s">
        <v>1087</v>
      </c>
      <c r="F329" s="1" t="s">
        <v>67</v>
      </c>
      <c r="G329" s="1" t="s">
        <v>68</v>
      </c>
      <c r="H329" s="1" t="s">
        <v>69</v>
      </c>
      <c r="I329" s="1" t="s">
        <v>70</v>
      </c>
      <c r="J329" s="1" t="s">
        <v>440</v>
      </c>
      <c r="K329" s="1">
        <v>6</v>
      </c>
      <c r="L329" s="1" t="s">
        <v>986</v>
      </c>
      <c r="M329" s="1" t="s">
        <v>572</v>
      </c>
      <c r="N329" s="1" t="s">
        <v>573</v>
      </c>
      <c r="O329" s="1" t="s">
        <v>150</v>
      </c>
      <c r="P329" s="1" t="s">
        <v>12</v>
      </c>
      <c r="Q329" s="1" t="s">
        <v>80</v>
      </c>
      <c r="R329" s="1" t="s">
        <v>315</v>
      </c>
      <c r="S329" s="2"/>
      <c r="X329" s="1">
        <v>17</v>
      </c>
      <c r="Y329" s="1">
        <v>16</v>
      </c>
      <c r="AA329" s="1">
        <v>13</v>
      </c>
      <c r="AB329" s="1">
        <v>17</v>
      </c>
      <c r="AC329" s="1">
        <v>15</v>
      </c>
      <c r="AE329" s="1" t="s">
        <v>77</v>
      </c>
      <c r="AF329" s="12">
        <v>17</v>
      </c>
      <c r="AG329" s="12">
        <v>12</v>
      </c>
      <c r="AH329" s="12">
        <v>5</v>
      </c>
      <c r="AI329" s="13">
        <v>44.647058823529413</v>
      </c>
      <c r="AJ329" s="13">
        <v>65</v>
      </c>
      <c r="AK329" s="13">
        <v>28</v>
      </c>
      <c r="AL329" s="13">
        <v>10.82209069721851</v>
      </c>
      <c r="AM329" s="14">
        <v>17</v>
      </c>
      <c r="AN329" s="14">
        <v>17</v>
      </c>
      <c r="AO329" s="3">
        <f t="shared" si="45"/>
        <v>1</v>
      </c>
      <c r="AP329" s="14">
        <v>0</v>
      </c>
      <c r="AQ329" s="14">
        <v>17</v>
      </c>
      <c r="AR329" s="3">
        <f t="shared" si="44"/>
        <v>0</v>
      </c>
      <c r="AS329" s="1">
        <v>0</v>
      </c>
      <c r="AT329" s="1">
        <v>0</v>
      </c>
      <c r="AU329" s="1">
        <v>0</v>
      </c>
      <c r="AV329" s="1">
        <v>7</v>
      </c>
      <c r="AW329" s="1">
        <v>0</v>
      </c>
      <c r="AX329" s="1">
        <v>0</v>
      </c>
      <c r="AY329" s="1">
        <v>0</v>
      </c>
      <c r="AZ329" s="1">
        <f t="shared" si="32"/>
        <v>7</v>
      </c>
    </row>
    <row r="330" spans="1:52" ht="15.75" customHeight="1" x14ac:dyDescent="0.3">
      <c r="A330" s="1" t="s">
        <v>1118</v>
      </c>
      <c r="B330" s="2" t="s">
        <v>1119</v>
      </c>
      <c r="C330" s="2">
        <v>260000038</v>
      </c>
      <c r="D330" s="1" t="s">
        <v>1081</v>
      </c>
      <c r="E330" s="1" t="s">
        <v>1082</v>
      </c>
      <c r="F330" s="1" t="s">
        <v>67</v>
      </c>
      <c r="G330" s="1" t="s">
        <v>68</v>
      </c>
      <c r="H330" s="1" t="s">
        <v>69</v>
      </c>
      <c r="I330" s="1" t="s">
        <v>70</v>
      </c>
      <c r="J330" s="1" t="s">
        <v>440</v>
      </c>
      <c r="K330" s="1">
        <v>6</v>
      </c>
      <c r="L330" s="1" t="s">
        <v>1083</v>
      </c>
      <c r="M330" s="1" t="s">
        <v>73</v>
      </c>
      <c r="N330" s="1" t="s">
        <v>74</v>
      </c>
      <c r="O330" s="1" t="s">
        <v>74</v>
      </c>
      <c r="P330" s="1" t="s">
        <v>12</v>
      </c>
      <c r="Q330" s="1" t="s">
        <v>80</v>
      </c>
      <c r="R330" s="1" t="s">
        <v>254</v>
      </c>
      <c r="S330" s="2"/>
      <c r="AB330" s="1">
        <v>13</v>
      </c>
      <c r="AD330" s="1">
        <v>24</v>
      </c>
      <c r="AE330" s="1" t="s">
        <v>77</v>
      </c>
      <c r="AF330" s="12">
        <v>13</v>
      </c>
      <c r="AG330" s="12">
        <v>8</v>
      </c>
      <c r="AH330" s="12">
        <v>5</v>
      </c>
      <c r="AI330" s="13">
        <v>46.692307692307693</v>
      </c>
      <c r="AJ330" s="13">
        <v>62</v>
      </c>
      <c r="AK330" s="13">
        <v>27</v>
      </c>
      <c r="AL330" s="13">
        <v>10.640994748178819</v>
      </c>
      <c r="AM330" s="14">
        <v>18</v>
      </c>
      <c r="AN330" s="14">
        <v>14</v>
      </c>
      <c r="AO330" s="3">
        <f t="shared" si="45"/>
        <v>0.77777777777777779</v>
      </c>
      <c r="AP330" s="14">
        <v>3</v>
      </c>
      <c r="AQ330" s="14">
        <v>10</v>
      </c>
      <c r="AR330" s="3">
        <f t="shared" si="44"/>
        <v>0.3</v>
      </c>
      <c r="AZ330" s="1">
        <f t="shared" si="32"/>
        <v>0</v>
      </c>
    </row>
    <row r="331" spans="1:52" ht="15.75" customHeight="1" x14ac:dyDescent="0.3">
      <c r="A331" s="1" t="s">
        <v>1120</v>
      </c>
      <c r="B331" s="2" t="s">
        <v>1121</v>
      </c>
      <c r="C331" s="2">
        <v>260000038</v>
      </c>
      <c r="D331" s="1" t="s">
        <v>1081</v>
      </c>
      <c r="E331" s="1" t="s">
        <v>1082</v>
      </c>
      <c r="F331" s="1" t="s">
        <v>67</v>
      </c>
      <c r="G331" s="1" t="s">
        <v>68</v>
      </c>
      <c r="H331" s="1" t="s">
        <v>69</v>
      </c>
      <c r="I331" s="1" t="s">
        <v>70</v>
      </c>
      <c r="J331" s="1" t="s">
        <v>440</v>
      </c>
      <c r="K331" s="1">
        <v>6</v>
      </c>
      <c r="L331" s="1" t="s">
        <v>1083</v>
      </c>
      <c r="M331" s="1" t="s">
        <v>73</v>
      </c>
      <c r="N331" s="1" t="s">
        <v>74</v>
      </c>
      <c r="O331" s="1" t="s">
        <v>74</v>
      </c>
      <c r="P331" s="1" t="s">
        <v>12</v>
      </c>
      <c r="Q331" s="1" t="s">
        <v>136</v>
      </c>
      <c r="R331" s="1" t="s">
        <v>137</v>
      </c>
      <c r="S331" s="2"/>
      <c r="X331" s="1">
        <v>1</v>
      </c>
      <c r="AB331" s="1">
        <v>8</v>
      </c>
      <c r="AD331" s="1">
        <v>8</v>
      </c>
      <c r="AE331" s="1" t="s">
        <v>77</v>
      </c>
      <c r="AF331" s="12">
        <v>8</v>
      </c>
      <c r="AG331" s="12">
        <v>0</v>
      </c>
      <c r="AH331" s="12">
        <v>8</v>
      </c>
      <c r="AI331" s="13">
        <v>47.125</v>
      </c>
      <c r="AJ331" s="13">
        <v>60</v>
      </c>
      <c r="AK331" s="13">
        <v>36</v>
      </c>
      <c r="AL331" s="13">
        <v>7.9000452078272492</v>
      </c>
      <c r="AM331" s="14"/>
      <c r="AN331" s="14"/>
      <c r="AO331" s="3"/>
      <c r="AP331" s="14">
        <v>1</v>
      </c>
      <c r="AQ331" s="14">
        <v>7</v>
      </c>
      <c r="AR331" s="3">
        <f t="shared" si="44"/>
        <v>0.14285714285714285</v>
      </c>
      <c r="AZ331" s="1">
        <f t="shared" si="32"/>
        <v>0</v>
      </c>
    </row>
    <row r="332" spans="1:52" ht="15.75" customHeight="1" x14ac:dyDescent="0.3">
      <c r="A332" s="1" t="s">
        <v>1122</v>
      </c>
      <c r="B332" s="2" t="s">
        <v>1123</v>
      </c>
      <c r="C332" s="2">
        <v>160000025</v>
      </c>
      <c r="D332" s="1" t="s">
        <v>1124</v>
      </c>
      <c r="E332" s="1" t="s">
        <v>1125</v>
      </c>
      <c r="F332" s="1" t="s">
        <v>67</v>
      </c>
      <c r="G332" s="1" t="s">
        <v>86</v>
      </c>
      <c r="H332" s="1" t="s">
        <v>87</v>
      </c>
      <c r="I332" s="1" t="s">
        <v>70</v>
      </c>
      <c r="J332" s="1" t="s">
        <v>460</v>
      </c>
      <c r="K332" s="1">
        <v>6</v>
      </c>
      <c r="L332" s="1" t="s">
        <v>1083</v>
      </c>
      <c r="M332" s="1" t="s">
        <v>73</v>
      </c>
      <c r="N332" s="1" t="s">
        <v>74</v>
      </c>
      <c r="O332" s="1" t="s">
        <v>74</v>
      </c>
      <c r="P332" s="1" t="s">
        <v>12</v>
      </c>
      <c r="Q332" s="1" t="s">
        <v>80</v>
      </c>
      <c r="R332" s="1" t="s">
        <v>534</v>
      </c>
      <c r="S332" s="2"/>
      <c r="T332" s="1">
        <v>239</v>
      </c>
      <c r="U332" s="1">
        <v>281</v>
      </c>
      <c r="V332" s="1">
        <v>305</v>
      </c>
      <c r="W332" s="1">
        <v>257</v>
      </c>
      <c r="X332" s="1">
        <v>338</v>
      </c>
      <c r="Y332" s="1">
        <v>361</v>
      </c>
      <c r="Z332" s="1">
        <v>341</v>
      </c>
      <c r="AA332" s="1">
        <v>332</v>
      </c>
      <c r="AB332" s="1">
        <v>217</v>
      </c>
      <c r="AC332" s="1">
        <v>238</v>
      </c>
      <c r="AE332" s="1" t="s">
        <v>77</v>
      </c>
      <c r="AF332" s="12">
        <v>217</v>
      </c>
      <c r="AG332" s="12">
        <v>97</v>
      </c>
      <c r="AH332" s="12">
        <v>120</v>
      </c>
      <c r="AI332" s="13">
        <v>47.231132075471699</v>
      </c>
      <c r="AJ332" s="13">
        <v>69</v>
      </c>
      <c r="AK332" s="13">
        <v>31</v>
      </c>
      <c r="AL332" s="13">
        <v>8.2288575932829318</v>
      </c>
      <c r="AM332" s="14">
        <v>88</v>
      </c>
      <c r="AN332" s="14">
        <v>84</v>
      </c>
      <c r="AO332" s="3">
        <f t="shared" ref="AO332:AO333" si="46">AN332/AM332</f>
        <v>0.95454545454545459</v>
      </c>
      <c r="AP332" s="14">
        <v>0</v>
      </c>
      <c r="AQ332" s="14">
        <v>216</v>
      </c>
      <c r="AR332" s="3">
        <f t="shared" si="44"/>
        <v>0</v>
      </c>
      <c r="AS332" s="1">
        <v>25</v>
      </c>
      <c r="AT332" s="1">
        <v>1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f t="shared" si="32"/>
        <v>26</v>
      </c>
    </row>
    <row r="333" spans="1:52" ht="15.75" customHeight="1" x14ac:dyDescent="0.3">
      <c r="A333" s="1" t="s">
        <v>1126</v>
      </c>
      <c r="B333" s="2" t="s">
        <v>1127</v>
      </c>
      <c r="C333" s="2">
        <v>160000051</v>
      </c>
      <c r="D333" s="1" t="s">
        <v>1097</v>
      </c>
      <c r="E333" s="1" t="s">
        <v>1098</v>
      </c>
      <c r="F333" s="1" t="s">
        <v>67</v>
      </c>
      <c r="G333" s="1" t="s">
        <v>86</v>
      </c>
      <c r="H333" s="1" t="s">
        <v>87</v>
      </c>
      <c r="I333" s="1" t="s">
        <v>70</v>
      </c>
      <c r="J333" s="1" t="s">
        <v>460</v>
      </c>
      <c r="K333" s="1">
        <v>6</v>
      </c>
      <c r="L333" s="1" t="s">
        <v>1099</v>
      </c>
      <c r="M333" s="1" t="s">
        <v>1100</v>
      </c>
      <c r="N333" s="1" t="s">
        <v>1099</v>
      </c>
      <c r="O333" s="1" t="s">
        <v>108</v>
      </c>
      <c r="P333" s="1" t="s">
        <v>12</v>
      </c>
      <c r="Q333" s="1" t="s">
        <v>75</v>
      </c>
      <c r="R333" s="1" t="s">
        <v>1128</v>
      </c>
      <c r="S333" s="2"/>
      <c r="W333" s="1">
        <v>23</v>
      </c>
      <c r="AE333" s="1" t="s">
        <v>513</v>
      </c>
      <c r="AF333" s="12">
        <v>46</v>
      </c>
      <c r="AG333" s="12">
        <v>36</v>
      </c>
      <c r="AH333" s="12">
        <v>10</v>
      </c>
      <c r="AI333" s="12">
        <v>48.739130434782609</v>
      </c>
      <c r="AJ333" s="12">
        <v>68</v>
      </c>
      <c r="AK333" s="12">
        <v>37</v>
      </c>
      <c r="AL333" s="12">
        <v>8.5646165708005242</v>
      </c>
      <c r="AM333" s="14">
        <v>36</v>
      </c>
      <c r="AN333" s="14">
        <v>36</v>
      </c>
      <c r="AO333" s="3">
        <f t="shared" si="46"/>
        <v>1</v>
      </c>
      <c r="AP333" s="14">
        <v>0</v>
      </c>
      <c r="AQ333" s="14">
        <v>46</v>
      </c>
      <c r="AR333" s="3">
        <f t="shared" si="44"/>
        <v>0</v>
      </c>
      <c r="AZ333" s="1">
        <f t="shared" si="32"/>
        <v>0</v>
      </c>
    </row>
    <row r="334" spans="1:52" ht="15.75" customHeight="1" x14ac:dyDescent="0.3">
      <c r="A334" s="1" t="s">
        <v>1129</v>
      </c>
      <c r="B334" s="2" t="s">
        <v>1130</v>
      </c>
      <c r="C334" s="2">
        <v>160000025</v>
      </c>
      <c r="D334" s="1" t="s">
        <v>1124</v>
      </c>
      <c r="E334" s="1" t="s">
        <v>1125</v>
      </c>
      <c r="F334" s="1" t="s">
        <v>67</v>
      </c>
      <c r="G334" s="1" t="s">
        <v>86</v>
      </c>
      <c r="H334" s="1" t="s">
        <v>87</v>
      </c>
      <c r="I334" s="1" t="s">
        <v>70</v>
      </c>
      <c r="J334" s="1" t="s">
        <v>460</v>
      </c>
      <c r="K334" s="1">
        <v>6</v>
      </c>
      <c r="L334" s="1" t="s">
        <v>1083</v>
      </c>
      <c r="M334" s="1" t="s">
        <v>73</v>
      </c>
      <c r="N334" s="1" t="s">
        <v>74</v>
      </c>
      <c r="O334" s="1" t="s">
        <v>74</v>
      </c>
      <c r="P334" s="1" t="s">
        <v>12</v>
      </c>
      <c r="Q334" s="1" t="s">
        <v>80</v>
      </c>
      <c r="R334" s="1" t="s">
        <v>1131</v>
      </c>
      <c r="S334" s="2"/>
      <c r="X334" s="1">
        <v>10</v>
      </c>
      <c r="Y334" s="1">
        <v>25</v>
      </c>
      <c r="Z334" s="1">
        <v>23</v>
      </c>
      <c r="AA334" s="1">
        <v>23</v>
      </c>
      <c r="AB334" s="1">
        <v>23</v>
      </c>
      <c r="AC334" s="1">
        <v>22</v>
      </c>
      <c r="AE334" s="1" t="s">
        <v>77</v>
      </c>
      <c r="AF334" s="12">
        <v>23</v>
      </c>
      <c r="AG334" s="12">
        <v>8</v>
      </c>
      <c r="AH334" s="12">
        <v>15</v>
      </c>
      <c r="AI334" s="13">
        <v>50.043478260869563</v>
      </c>
      <c r="AJ334" s="13">
        <v>70</v>
      </c>
      <c r="AK334" s="13">
        <v>40</v>
      </c>
      <c r="AL334" s="13">
        <v>8.2982926002311626</v>
      </c>
      <c r="AM334" s="14"/>
      <c r="AN334" s="14"/>
      <c r="AO334" s="3"/>
      <c r="AP334" s="14">
        <v>0</v>
      </c>
      <c r="AQ334" s="14">
        <v>23</v>
      </c>
      <c r="AR334" s="3">
        <f t="shared" si="44"/>
        <v>0</v>
      </c>
      <c r="AZ334" s="1">
        <f t="shared" si="32"/>
        <v>0</v>
      </c>
    </row>
    <row r="335" spans="1:52" ht="15.75" customHeight="1" x14ac:dyDescent="0.3">
      <c r="A335" s="1" t="s">
        <v>1132</v>
      </c>
      <c r="B335" s="2" t="s">
        <v>1133</v>
      </c>
      <c r="C335" s="2">
        <v>160000025</v>
      </c>
      <c r="D335" s="1" t="s">
        <v>1124</v>
      </c>
      <c r="E335" s="1" t="s">
        <v>1125</v>
      </c>
      <c r="F335" s="1" t="s">
        <v>67</v>
      </c>
      <c r="G335" s="1" t="s">
        <v>86</v>
      </c>
      <c r="H335" s="1" t="s">
        <v>87</v>
      </c>
      <c r="I335" s="1" t="s">
        <v>70</v>
      </c>
      <c r="J335" s="1" t="s">
        <v>460</v>
      </c>
      <c r="K335" s="1">
        <v>6</v>
      </c>
      <c r="L335" s="1" t="s">
        <v>1083</v>
      </c>
      <c r="M335" s="1" t="s">
        <v>73</v>
      </c>
      <c r="N335" s="1" t="s">
        <v>74</v>
      </c>
      <c r="O335" s="1" t="s">
        <v>74</v>
      </c>
      <c r="P335" s="1" t="s">
        <v>12</v>
      </c>
      <c r="Q335" s="1" t="s">
        <v>80</v>
      </c>
      <c r="R335" s="1" t="s">
        <v>1134</v>
      </c>
      <c r="S335" s="2"/>
      <c r="T335" s="1">
        <v>1</v>
      </c>
      <c r="X335" s="1">
        <v>13</v>
      </c>
      <c r="Y335" s="1">
        <v>10</v>
      </c>
      <c r="Z335" s="1">
        <v>12</v>
      </c>
      <c r="AA335" s="1">
        <v>19</v>
      </c>
      <c r="AB335" s="1">
        <v>20</v>
      </c>
      <c r="AC335" s="1">
        <v>28</v>
      </c>
      <c r="AE335" s="1" t="s">
        <v>77</v>
      </c>
      <c r="AF335" s="12">
        <v>20</v>
      </c>
      <c r="AG335" s="12">
        <v>15</v>
      </c>
      <c r="AH335" s="12">
        <v>5</v>
      </c>
      <c r="AI335" s="13">
        <v>51.421052631578945</v>
      </c>
      <c r="AJ335" s="13">
        <v>66</v>
      </c>
      <c r="AK335" s="13">
        <v>38</v>
      </c>
      <c r="AL335" s="13">
        <v>8.146681597597361</v>
      </c>
      <c r="AM335" s="14">
        <v>19</v>
      </c>
      <c r="AN335" s="14">
        <v>19</v>
      </c>
      <c r="AO335" s="3">
        <f t="shared" ref="AO335:AO336" si="47">AN335/AM335</f>
        <v>1</v>
      </c>
      <c r="AP335" s="14">
        <v>0</v>
      </c>
      <c r="AQ335" s="14">
        <v>20</v>
      </c>
      <c r="AR335" s="3">
        <f t="shared" si="44"/>
        <v>0</v>
      </c>
      <c r="AZ335" s="1">
        <f t="shared" si="32"/>
        <v>0</v>
      </c>
    </row>
    <row r="336" spans="1:52" ht="15.75" customHeight="1" x14ac:dyDescent="0.3">
      <c r="A336" s="1" t="s">
        <v>1135</v>
      </c>
      <c r="B336" s="2" t="s">
        <v>1136</v>
      </c>
      <c r="C336" s="2">
        <v>160000051</v>
      </c>
      <c r="D336" s="2" t="s">
        <v>1097</v>
      </c>
      <c r="E336" s="1" t="s">
        <v>1098</v>
      </c>
      <c r="F336" s="2" t="s">
        <v>67</v>
      </c>
      <c r="G336" s="2" t="s">
        <v>86</v>
      </c>
      <c r="H336" s="2" t="s">
        <v>87</v>
      </c>
      <c r="I336" s="2" t="s">
        <v>409</v>
      </c>
      <c r="J336" s="1" t="s">
        <v>460</v>
      </c>
      <c r="K336" s="1">
        <v>6</v>
      </c>
      <c r="L336" s="1" t="s">
        <v>1099</v>
      </c>
      <c r="M336" s="1" t="s">
        <v>1100</v>
      </c>
      <c r="N336" s="1" t="s">
        <v>1099</v>
      </c>
      <c r="O336" s="1" t="s">
        <v>108</v>
      </c>
      <c r="P336" s="1" t="s">
        <v>12</v>
      </c>
      <c r="Q336" s="1" t="s">
        <v>80</v>
      </c>
      <c r="R336" s="2" t="s">
        <v>192</v>
      </c>
      <c r="S336" s="2"/>
      <c r="AF336" s="12"/>
      <c r="AG336" s="12"/>
      <c r="AH336" s="12"/>
      <c r="AI336" s="12"/>
      <c r="AJ336" s="12"/>
      <c r="AK336" s="12"/>
      <c r="AL336" s="12"/>
      <c r="AM336" s="14">
        <v>30</v>
      </c>
      <c r="AN336" s="14">
        <v>30</v>
      </c>
      <c r="AO336" s="3">
        <f t="shared" si="47"/>
        <v>1</v>
      </c>
      <c r="AP336" s="14"/>
      <c r="AQ336" s="14"/>
      <c r="AR336" s="3"/>
      <c r="AZ336" s="1">
        <f t="shared" si="32"/>
        <v>0</v>
      </c>
    </row>
    <row r="337" spans="1:52" ht="15.75" customHeight="1" x14ac:dyDescent="0.3">
      <c r="B337" s="1" t="s">
        <v>1137</v>
      </c>
      <c r="C337" s="2">
        <v>260000046</v>
      </c>
      <c r="D337" s="1" t="s">
        <v>1086</v>
      </c>
      <c r="E337" s="1" t="s">
        <v>1087</v>
      </c>
      <c r="F337" s="1" t="s">
        <v>67</v>
      </c>
      <c r="G337" s="1" t="s">
        <v>68</v>
      </c>
      <c r="H337" s="1" t="s">
        <v>69</v>
      </c>
      <c r="I337" s="1" t="s">
        <v>70</v>
      </c>
      <c r="J337" s="1" t="s">
        <v>440</v>
      </c>
      <c r="K337" s="1">
        <v>6</v>
      </c>
      <c r="L337" s="1" t="s">
        <v>986</v>
      </c>
      <c r="M337" s="1" t="s">
        <v>572</v>
      </c>
      <c r="N337" s="1" t="s">
        <v>573</v>
      </c>
      <c r="O337" s="1" t="s">
        <v>150</v>
      </c>
      <c r="P337" s="1" t="s">
        <v>12</v>
      </c>
      <c r="Q337" s="1" t="s">
        <v>141</v>
      </c>
      <c r="R337" s="1" t="s">
        <v>1138</v>
      </c>
      <c r="S337" s="2"/>
      <c r="AE337" s="1" t="s">
        <v>138</v>
      </c>
      <c r="AM337" s="14">
        <v>18</v>
      </c>
      <c r="AN337" s="14">
        <v>18</v>
      </c>
      <c r="AO337" s="14">
        <v>1</v>
      </c>
      <c r="AP337" s="14"/>
      <c r="AQ337" s="14"/>
      <c r="AZ337" s="1">
        <f t="shared" si="32"/>
        <v>0</v>
      </c>
    </row>
    <row r="338" spans="1:52" ht="15.75" customHeight="1" x14ac:dyDescent="0.3">
      <c r="A338" s="1" t="s">
        <v>1139</v>
      </c>
      <c r="B338" s="2" t="s">
        <v>1140</v>
      </c>
      <c r="C338" s="2">
        <v>160000013</v>
      </c>
      <c r="D338" s="2" t="s">
        <v>1141</v>
      </c>
      <c r="E338" s="1" t="s">
        <v>1142</v>
      </c>
      <c r="F338" s="2" t="s">
        <v>67</v>
      </c>
      <c r="G338" s="2" t="s">
        <v>86</v>
      </c>
      <c r="H338" s="2" t="s">
        <v>87</v>
      </c>
      <c r="I338" s="2" t="s">
        <v>409</v>
      </c>
      <c r="J338" s="1" t="s">
        <v>460</v>
      </c>
      <c r="K338" s="1">
        <v>6</v>
      </c>
      <c r="L338" s="1" t="s">
        <v>1143</v>
      </c>
      <c r="M338" s="1" t="s">
        <v>149</v>
      </c>
      <c r="N338" s="1" t="s">
        <v>148</v>
      </c>
      <c r="O338" s="1" t="s">
        <v>150</v>
      </c>
      <c r="P338" s="1" t="s">
        <v>12</v>
      </c>
      <c r="Q338" s="1" t="s">
        <v>80</v>
      </c>
      <c r="R338" s="2" t="s">
        <v>1144</v>
      </c>
      <c r="S338" s="2"/>
      <c r="AF338" s="12"/>
      <c r="AG338" s="12"/>
      <c r="AH338" s="12"/>
      <c r="AI338" s="12"/>
      <c r="AJ338" s="12"/>
      <c r="AK338" s="12"/>
      <c r="AL338" s="12"/>
      <c r="AM338" s="14">
        <v>13</v>
      </c>
      <c r="AN338" s="14">
        <v>12</v>
      </c>
      <c r="AO338" s="3">
        <f t="shared" ref="AO338:AO343" si="48">AN338/AM338</f>
        <v>0.92307692307692313</v>
      </c>
      <c r="AP338" s="14"/>
      <c r="AQ338" s="14"/>
      <c r="AR338" s="3"/>
      <c r="AZ338" s="1">
        <f t="shared" si="32"/>
        <v>0</v>
      </c>
    </row>
    <row r="339" spans="1:52" ht="15.75" customHeight="1" x14ac:dyDescent="0.3">
      <c r="A339" s="1" t="s">
        <v>1145</v>
      </c>
      <c r="B339" s="2" t="s">
        <v>1146</v>
      </c>
      <c r="C339" s="2">
        <v>160000013</v>
      </c>
      <c r="D339" s="2" t="s">
        <v>1141</v>
      </c>
      <c r="E339" s="1" t="s">
        <v>1142</v>
      </c>
      <c r="F339" s="2" t="s">
        <v>67</v>
      </c>
      <c r="G339" s="2" t="s">
        <v>86</v>
      </c>
      <c r="H339" s="2" t="s">
        <v>87</v>
      </c>
      <c r="I339" s="2" t="s">
        <v>409</v>
      </c>
      <c r="J339" s="1" t="s">
        <v>460</v>
      </c>
      <c r="K339" s="1">
        <v>6</v>
      </c>
      <c r="L339" s="1" t="s">
        <v>1143</v>
      </c>
      <c r="M339" s="1" t="s">
        <v>149</v>
      </c>
      <c r="N339" s="1" t="s">
        <v>148</v>
      </c>
      <c r="O339" s="1" t="s">
        <v>150</v>
      </c>
      <c r="P339" s="1" t="s">
        <v>12</v>
      </c>
      <c r="Q339" s="1" t="s">
        <v>195</v>
      </c>
      <c r="R339" s="2" t="s">
        <v>1147</v>
      </c>
      <c r="S339" s="2"/>
      <c r="AF339" s="12"/>
      <c r="AG339" s="12"/>
      <c r="AH339" s="12"/>
      <c r="AI339" s="12"/>
      <c r="AJ339" s="12"/>
      <c r="AK339" s="12"/>
      <c r="AL339" s="12"/>
      <c r="AM339" s="14">
        <v>6</v>
      </c>
      <c r="AN339" s="14">
        <v>6</v>
      </c>
      <c r="AO339" s="3">
        <f t="shared" si="48"/>
        <v>1</v>
      </c>
      <c r="AP339" s="14"/>
      <c r="AQ339" s="14"/>
      <c r="AR339" s="3"/>
      <c r="AZ339" s="1">
        <f t="shared" si="32"/>
        <v>0</v>
      </c>
    </row>
    <row r="340" spans="1:52" ht="15.75" customHeight="1" x14ac:dyDescent="0.3">
      <c r="A340" s="1" t="s">
        <v>1148</v>
      </c>
      <c r="B340" s="2" t="s">
        <v>1149</v>
      </c>
      <c r="C340" s="2">
        <v>160000013</v>
      </c>
      <c r="D340" s="2" t="s">
        <v>1141</v>
      </c>
      <c r="E340" s="1" t="s">
        <v>1142</v>
      </c>
      <c r="F340" s="2" t="s">
        <v>67</v>
      </c>
      <c r="G340" s="2" t="s">
        <v>86</v>
      </c>
      <c r="H340" s="2" t="s">
        <v>87</v>
      </c>
      <c r="I340" s="2" t="s">
        <v>409</v>
      </c>
      <c r="J340" s="1" t="s">
        <v>460</v>
      </c>
      <c r="K340" s="1">
        <v>6</v>
      </c>
      <c r="L340" s="1" t="s">
        <v>1143</v>
      </c>
      <c r="M340" s="1" t="s">
        <v>149</v>
      </c>
      <c r="N340" s="1" t="s">
        <v>148</v>
      </c>
      <c r="O340" s="1" t="s">
        <v>150</v>
      </c>
      <c r="P340" s="1" t="s">
        <v>12</v>
      </c>
      <c r="Q340" s="1" t="s">
        <v>90</v>
      </c>
      <c r="R340" s="2" t="s">
        <v>417</v>
      </c>
      <c r="S340" s="2"/>
      <c r="AF340" s="12"/>
      <c r="AG340" s="12"/>
      <c r="AH340" s="12"/>
      <c r="AI340" s="12"/>
      <c r="AJ340" s="12"/>
      <c r="AK340" s="12"/>
      <c r="AL340" s="12"/>
      <c r="AM340" s="14">
        <v>24</v>
      </c>
      <c r="AN340" s="14">
        <v>23</v>
      </c>
      <c r="AO340" s="3">
        <f t="shared" si="48"/>
        <v>0.95833333333333337</v>
      </c>
      <c r="AP340" s="14"/>
      <c r="AQ340" s="14"/>
      <c r="AR340" s="3"/>
      <c r="AZ340" s="1">
        <f t="shared" si="32"/>
        <v>0</v>
      </c>
    </row>
    <row r="341" spans="1:52" ht="15.75" customHeight="1" x14ac:dyDescent="0.3">
      <c r="A341" s="1" t="s">
        <v>1150</v>
      </c>
      <c r="B341" s="2" t="s">
        <v>1151</v>
      </c>
      <c r="C341" s="2">
        <v>160000013</v>
      </c>
      <c r="D341" s="2" t="s">
        <v>1141</v>
      </c>
      <c r="E341" s="1" t="s">
        <v>1142</v>
      </c>
      <c r="F341" s="2" t="s">
        <v>67</v>
      </c>
      <c r="G341" s="2" t="s">
        <v>86</v>
      </c>
      <c r="H341" s="2" t="s">
        <v>87</v>
      </c>
      <c r="I341" s="2" t="s">
        <v>409</v>
      </c>
      <c r="J341" s="1" t="s">
        <v>460</v>
      </c>
      <c r="K341" s="1">
        <v>6</v>
      </c>
      <c r="L341" s="1" t="s">
        <v>1143</v>
      </c>
      <c r="M341" s="1" t="s">
        <v>149</v>
      </c>
      <c r="N341" s="1" t="s">
        <v>148</v>
      </c>
      <c r="O341" s="1" t="s">
        <v>150</v>
      </c>
      <c r="P341" s="1" t="s">
        <v>12</v>
      </c>
      <c r="Q341" s="1" t="s">
        <v>80</v>
      </c>
      <c r="R341" s="2" t="s">
        <v>534</v>
      </c>
      <c r="S341" s="2"/>
      <c r="AF341" s="12"/>
      <c r="AG341" s="12"/>
      <c r="AH341" s="12"/>
      <c r="AI341" s="12"/>
      <c r="AJ341" s="12"/>
      <c r="AK341" s="12"/>
      <c r="AL341" s="12"/>
      <c r="AM341" s="14">
        <v>32</v>
      </c>
      <c r="AN341" s="14">
        <v>29</v>
      </c>
      <c r="AO341" s="3">
        <f t="shared" si="48"/>
        <v>0.90625</v>
      </c>
      <c r="AP341" s="14"/>
      <c r="AQ341" s="14"/>
      <c r="AR341" s="3"/>
      <c r="AZ341" s="1">
        <f t="shared" si="32"/>
        <v>0</v>
      </c>
    </row>
    <row r="342" spans="1:52" ht="15.75" customHeight="1" x14ac:dyDescent="0.3">
      <c r="A342" s="1" t="s">
        <v>1152</v>
      </c>
      <c r="B342" s="2" t="s">
        <v>1153</v>
      </c>
      <c r="C342" s="2">
        <v>260000015</v>
      </c>
      <c r="D342" s="2" t="s">
        <v>1154</v>
      </c>
      <c r="E342" s="1" t="s">
        <v>1155</v>
      </c>
      <c r="F342" s="2" t="s">
        <v>67</v>
      </c>
      <c r="G342" s="2" t="s">
        <v>68</v>
      </c>
      <c r="H342" s="2" t="s">
        <v>69</v>
      </c>
      <c r="I342" s="2" t="s">
        <v>409</v>
      </c>
      <c r="J342" s="1" t="s">
        <v>440</v>
      </c>
      <c r="K342" s="1">
        <v>6</v>
      </c>
      <c r="L342" s="1" t="s">
        <v>991</v>
      </c>
      <c r="M342" s="1" t="s">
        <v>992</v>
      </c>
      <c r="N342" s="1" t="s">
        <v>991</v>
      </c>
      <c r="O342" s="1" t="s">
        <v>150</v>
      </c>
      <c r="P342" s="1" t="s">
        <v>12</v>
      </c>
      <c r="Q342" s="1" t="s">
        <v>75</v>
      </c>
      <c r="R342" s="2" t="s">
        <v>477</v>
      </c>
      <c r="S342" s="2">
        <v>2018</v>
      </c>
      <c r="AF342" s="12"/>
      <c r="AG342" s="12"/>
      <c r="AH342" s="12"/>
      <c r="AI342" s="12"/>
      <c r="AJ342" s="12"/>
      <c r="AK342" s="12"/>
      <c r="AL342" s="12"/>
      <c r="AM342" s="14">
        <v>9</v>
      </c>
      <c r="AN342" s="14">
        <v>9</v>
      </c>
      <c r="AO342" s="3">
        <f t="shared" si="48"/>
        <v>1</v>
      </c>
      <c r="AP342" s="14"/>
      <c r="AQ342" s="14"/>
      <c r="AR342" s="3"/>
      <c r="AS342" s="1">
        <v>10</v>
      </c>
      <c r="AT342" s="1">
        <v>0</v>
      </c>
      <c r="AU342" s="1">
        <v>0</v>
      </c>
      <c r="AV342" s="1">
        <v>3</v>
      </c>
      <c r="AW342" s="1">
        <v>0</v>
      </c>
      <c r="AX342" s="1">
        <v>2</v>
      </c>
      <c r="AY342" s="1">
        <v>1</v>
      </c>
      <c r="AZ342" s="1">
        <f t="shared" si="32"/>
        <v>16</v>
      </c>
    </row>
    <row r="343" spans="1:52" ht="15.75" customHeight="1" x14ac:dyDescent="0.3">
      <c r="A343" s="1" t="s">
        <v>1156</v>
      </c>
      <c r="B343" s="2" t="s">
        <v>1157</v>
      </c>
      <c r="C343" s="2">
        <v>160000013</v>
      </c>
      <c r="D343" s="2" t="s">
        <v>1141</v>
      </c>
      <c r="E343" s="1" t="s">
        <v>1142</v>
      </c>
      <c r="F343" s="2" t="s">
        <v>67</v>
      </c>
      <c r="G343" s="2" t="s">
        <v>86</v>
      </c>
      <c r="H343" s="2" t="s">
        <v>87</v>
      </c>
      <c r="I343" s="2" t="s">
        <v>409</v>
      </c>
      <c r="J343" s="1" t="s">
        <v>460</v>
      </c>
      <c r="K343" s="1">
        <v>6</v>
      </c>
      <c r="L343" s="1" t="s">
        <v>1143</v>
      </c>
      <c r="M343" s="1" t="s">
        <v>149</v>
      </c>
      <c r="N343" s="1" t="s">
        <v>148</v>
      </c>
      <c r="O343" s="1" t="s">
        <v>150</v>
      </c>
      <c r="P343" s="1" t="s">
        <v>12</v>
      </c>
      <c r="Q343" s="1" t="s">
        <v>75</v>
      </c>
      <c r="R343" s="2" t="s">
        <v>477</v>
      </c>
      <c r="S343" s="2"/>
      <c r="AF343" s="12"/>
      <c r="AG343" s="12"/>
      <c r="AH343" s="12"/>
      <c r="AI343" s="12"/>
      <c r="AJ343" s="12"/>
      <c r="AK343" s="12"/>
      <c r="AL343" s="12"/>
      <c r="AM343" s="14">
        <v>26</v>
      </c>
      <c r="AN343" s="14">
        <v>23</v>
      </c>
      <c r="AO343" s="3">
        <f t="shared" si="48"/>
        <v>0.88461538461538458</v>
      </c>
      <c r="AP343" s="14"/>
      <c r="AQ343" s="14"/>
      <c r="AR343" s="3"/>
      <c r="AZ343" s="1">
        <f t="shared" si="32"/>
        <v>0</v>
      </c>
    </row>
    <row r="344" spans="1:52" ht="15.75" customHeight="1" x14ac:dyDescent="0.3">
      <c r="B344" s="1" t="s">
        <v>1158</v>
      </c>
      <c r="C344" s="2">
        <v>260000046</v>
      </c>
      <c r="D344" s="1" t="s">
        <v>1086</v>
      </c>
      <c r="E344" s="1" t="s">
        <v>1087</v>
      </c>
      <c r="F344" s="1" t="s">
        <v>67</v>
      </c>
      <c r="G344" s="1" t="s">
        <v>68</v>
      </c>
      <c r="H344" s="1" t="s">
        <v>69</v>
      </c>
      <c r="I344" s="1" t="s">
        <v>70</v>
      </c>
      <c r="J344" s="1" t="s">
        <v>440</v>
      </c>
      <c r="K344" s="1">
        <v>6</v>
      </c>
      <c r="L344" s="1" t="s">
        <v>986</v>
      </c>
      <c r="M344" s="1" t="s">
        <v>572</v>
      </c>
      <c r="N344" s="1" t="s">
        <v>573</v>
      </c>
      <c r="O344" s="1" t="s">
        <v>150</v>
      </c>
      <c r="P344" s="1" t="s">
        <v>12</v>
      </c>
      <c r="Q344" s="1" t="s">
        <v>141</v>
      </c>
      <c r="R344" s="1" t="s">
        <v>1014</v>
      </c>
      <c r="S344" s="2"/>
      <c r="AE344" s="1" t="s">
        <v>138</v>
      </c>
      <c r="AH344" s="2"/>
      <c r="AI344" s="2"/>
      <c r="AJ344" s="2"/>
      <c r="AM344" s="14">
        <v>36</v>
      </c>
      <c r="AN344" s="14">
        <v>36</v>
      </c>
      <c r="AO344" s="14">
        <v>1</v>
      </c>
      <c r="AP344" s="14"/>
      <c r="AQ344" s="14"/>
      <c r="AZ344" s="1">
        <f t="shared" si="32"/>
        <v>0</v>
      </c>
    </row>
    <row r="345" spans="1:52" ht="15.75" customHeight="1" x14ac:dyDescent="0.3">
      <c r="A345" s="1" t="s">
        <v>1159</v>
      </c>
      <c r="B345" s="2" t="s">
        <v>1160</v>
      </c>
      <c r="C345" s="2">
        <v>160000013</v>
      </c>
      <c r="D345" s="2" t="s">
        <v>1141</v>
      </c>
      <c r="E345" s="1" t="s">
        <v>1142</v>
      </c>
      <c r="F345" s="2" t="s">
        <v>67</v>
      </c>
      <c r="G345" s="2" t="s">
        <v>86</v>
      </c>
      <c r="H345" s="2" t="s">
        <v>87</v>
      </c>
      <c r="I345" s="2" t="s">
        <v>409</v>
      </c>
      <c r="J345" s="1" t="s">
        <v>460</v>
      </c>
      <c r="K345" s="1">
        <v>6</v>
      </c>
      <c r="L345" s="1" t="s">
        <v>1143</v>
      </c>
      <c r="M345" s="1" t="s">
        <v>149</v>
      </c>
      <c r="N345" s="1" t="s">
        <v>148</v>
      </c>
      <c r="O345" s="1" t="s">
        <v>150</v>
      </c>
      <c r="P345" s="1" t="s">
        <v>12</v>
      </c>
      <c r="Q345" s="1" t="s">
        <v>80</v>
      </c>
      <c r="R345" s="2" t="s">
        <v>1161</v>
      </c>
      <c r="S345" s="2"/>
      <c r="AF345" s="12"/>
      <c r="AG345" s="12"/>
      <c r="AH345" s="12"/>
      <c r="AI345" s="12"/>
      <c r="AJ345" s="12"/>
      <c r="AK345" s="12"/>
      <c r="AL345" s="12"/>
      <c r="AM345" s="14">
        <v>4</v>
      </c>
      <c r="AN345" s="14">
        <v>2</v>
      </c>
      <c r="AO345" s="3">
        <f t="shared" ref="AO345:AO352" si="49">AN345/AM345</f>
        <v>0.5</v>
      </c>
      <c r="AP345" s="14"/>
      <c r="AQ345" s="14"/>
      <c r="AR345" s="3"/>
      <c r="AZ345" s="1">
        <f t="shared" si="32"/>
        <v>0</v>
      </c>
    </row>
    <row r="346" spans="1:52" ht="15.75" customHeight="1" x14ac:dyDescent="0.3">
      <c r="A346" s="1" t="s">
        <v>1162</v>
      </c>
      <c r="B346" s="2" t="s">
        <v>1163</v>
      </c>
      <c r="C346" s="2">
        <v>160000013</v>
      </c>
      <c r="D346" s="2" t="s">
        <v>1141</v>
      </c>
      <c r="E346" s="1" t="s">
        <v>1142</v>
      </c>
      <c r="F346" s="2" t="s">
        <v>67</v>
      </c>
      <c r="G346" s="2" t="s">
        <v>86</v>
      </c>
      <c r="H346" s="2" t="s">
        <v>87</v>
      </c>
      <c r="I346" s="2" t="s">
        <v>409</v>
      </c>
      <c r="J346" s="1" t="s">
        <v>460</v>
      </c>
      <c r="K346" s="1">
        <v>6</v>
      </c>
      <c r="L346" s="1" t="s">
        <v>1143</v>
      </c>
      <c r="M346" s="1" t="s">
        <v>149</v>
      </c>
      <c r="N346" s="1" t="s">
        <v>148</v>
      </c>
      <c r="O346" s="1" t="s">
        <v>150</v>
      </c>
      <c r="P346" s="1" t="s">
        <v>12</v>
      </c>
      <c r="Q346" s="1" t="s">
        <v>90</v>
      </c>
      <c r="R346" s="2" t="s">
        <v>1164</v>
      </c>
      <c r="S346" s="2"/>
      <c r="AF346" s="12"/>
      <c r="AG346" s="12"/>
      <c r="AH346" s="12"/>
      <c r="AI346" s="12"/>
      <c r="AJ346" s="12"/>
      <c r="AK346" s="12"/>
      <c r="AL346" s="12"/>
      <c r="AM346" s="14">
        <v>4</v>
      </c>
      <c r="AN346" s="14">
        <v>4</v>
      </c>
      <c r="AO346" s="3">
        <f t="shared" si="49"/>
        <v>1</v>
      </c>
      <c r="AP346" s="14"/>
      <c r="AQ346" s="14"/>
      <c r="AR346" s="3"/>
      <c r="AZ346" s="1">
        <f t="shared" si="32"/>
        <v>0</v>
      </c>
    </row>
    <row r="347" spans="1:52" ht="15.75" customHeight="1" x14ac:dyDescent="0.3">
      <c r="A347" s="1" t="s">
        <v>1165</v>
      </c>
      <c r="B347" s="2" t="s">
        <v>1166</v>
      </c>
      <c r="C347" s="2">
        <v>160000051</v>
      </c>
      <c r="D347" s="2" t="s">
        <v>1097</v>
      </c>
      <c r="E347" s="1" t="s">
        <v>1098</v>
      </c>
      <c r="F347" s="2" t="s">
        <v>67</v>
      </c>
      <c r="G347" s="2" t="s">
        <v>86</v>
      </c>
      <c r="H347" s="2" t="s">
        <v>87</v>
      </c>
      <c r="I347" s="2" t="s">
        <v>409</v>
      </c>
      <c r="J347" s="1" t="s">
        <v>460</v>
      </c>
      <c r="K347" s="1">
        <v>6</v>
      </c>
      <c r="L347" s="1" t="s">
        <v>1099</v>
      </c>
      <c r="M347" s="1" t="s">
        <v>1100</v>
      </c>
      <c r="N347" s="1" t="s">
        <v>1099</v>
      </c>
      <c r="O347" s="1" t="s">
        <v>108</v>
      </c>
      <c r="P347" s="1" t="s">
        <v>12</v>
      </c>
      <c r="Q347" s="1" t="s">
        <v>80</v>
      </c>
      <c r="R347" s="2" t="s">
        <v>743</v>
      </c>
      <c r="S347" s="2"/>
      <c r="AF347" s="12"/>
      <c r="AG347" s="12"/>
      <c r="AH347" s="12"/>
      <c r="AI347" s="12"/>
      <c r="AJ347" s="12"/>
      <c r="AK347" s="12"/>
      <c r="AL347" s="12"/>
      <c r="AM347" s="14">
        <v>18</v>
      </c>
      <c r="AN347" s="14">
        <v>18</v>
      </c>
      <c r="AO347" s="3">
        <f t="shared" si="49"/>
        <v>1</v>
      </c>
      <c r="AP347" s="14"/>
      <c r="AQ347" s="14"/>
      <c r="AR347" s="3"/>
      <c r="AZ347" s="1">
        <f t="shared" si="32"/>
        <v>0</v>
      </c>
    </row>
    <row r="348" spans="1:52" ht="15.75" customHeight="1" x14ac:dyDescent="0.3">
      <c r="A348" s="1" t="s">
        <v>1167</v>
      </c>
      <c r="B348" s="2" t="s">
        <v>1168</v>
      </c>
      <c r="C348" s="2">
        <v>160000013</v>
      </c>
      <c r="D348" s="2" t="s">
        <v>1141</v>
      </c>
      <c r="E348" s="1" t="s">
        <v>1142</v>
      </c>
      <c r="F348" s="2" t="s">
        <v>67</v>
      </c>
      <c r="G348" s="2" t="s">
        <v>86</v>
      </c>
      <c r="H348" s="2" t="s">
        <v>87</v>
      </c>
      <c r="I348" s="2" t="s">
        <v>409</v>
      </c>
      <c r="J348" s="1" t="s">
        <v>460</v>
      </c>
      <c r="K348" s="1">
        <v>6</v>
      </c>
      <c r="L348" s="1" t="s">
        <v>1143</v>
      </c>
      <c r="M348" s="1" t="s">
        <v>149</v>
      </c>
      <c r="N348" s="1" t="s">
        <v>148</v>
      </c>
      <c r="O348" s="1" t="s">
        <v>150</v>
      </c>
      <c r="P348" s="1" t="s">
        <v>12</v>
      </c>
      <c r="Q348" s="1" t="s">
        <v>80</v>
      </c>
      <c r="R348" s="2" t="s">
        <v>786</v>
      </c>
      <c r="S348" s="2"/>
      <c r="AF348" s="12"/>
      <c r="AG348" s="12"/>
      <c r="AH348" s="12"/>
      <c r="AI348" s="12"/>
      <c r="AJ348" s="12"/>
      <c r="AK348" s="12"/>
      <c r="AL348" s="12"/>
      <c r="AM348" s="14">
        <v>11</v>
      </c>
      <c r="AN348" s="14">
        <v>10</v>
      </c>
      <c r="AO348" s="3">
        <f t="shared" si="49"/>
        <v>0.90909090909090906</v>
      </c>
      <c r="AP348" s="14"/>
      <c r="AQ348" s="14"/>
      <c r="AR348" s="3"/>
      <c r="AZ348" s="1">
        <f t="shared" si="32"/>
        <v>0</v>
      </c>
    </row>
    <row r="349" spans="1:52" ht="15.75" customHeight="1" x14ac:dyDescent="0.3">
      <c r="A349" s="1" t="s">
        <v>1169</v>
      </c>
      <c r="B349" s="2" t="s">
        <v>1170</v>
      </c>
      <c r="C349" s="2">
        <v>260000015</v>
      </c>
      <c r="D349" s="2" t="s">
        <v>1154</v>
      </c>
      <c r="E349" s="1" t="s">
        <v>1155</v>
      </c>
      <c r="F349" s="2" t="s">
        <v>67</v>
      </c>
      <c r="G349" s="2" t="s">
        <v>68</v>
      </c>
      <c r="H349" s="2" t="s">
        <v>69</v>
      </c>
      <c r="I349" s="2" t="s">
        <v>409</v>
      </c>
      <c r="J349" s="1" t="s">
        <v>440</v>
      </c>
      <c r="K349" s="1">
        <v>6</v>
      </c>
      <c r="L349" s="1" t="s">
        <v>991</v>
      </c>
      <c r="M349" s="1" t="s">
        <v>992</v>
      </c>
      <c r="N349" s="1" t="s">
        <v>991</v>
      </c>
      <c r="O349" s="1" t="s">
        <v>150</v>
      </c>
      <c r="P349" s="1" t="s">
        <v>12</v>
      </c>
      <c r="Q349" s="1" t="s">
        <v>80</v>
      </c>
      <c r="R349" s="2" t="s">
        <v>109</v>
      </c>
      <c r="S349" s="2"/>
      <c r="AF349" s="12"/>
      <c r="AG349" s="12"/>
      <c r="AH349" s="12"/>
      <c r="AI349" s="12"/>
      <c r="AJ349" s="12"/>
      <c r="AK349" s="12"/>
      <c r="AL349" s="12"/>
      <c r="AM349" s="14">
        <v>6</v>
      </c>
      <c r="AN349" s="14">
        <v>6</v>
      </c>
      <c r="AO349" s="3">
        <f t="shared" si="49"/>
        <v>1</v>
      </c>
      <c r="AP349" s="14"/>
      <c r="AQ349" s="14"/>
      <c r="AR349" s="3"/>
      <c r="AS349" s="1">
        <v>6</v>
      </c>
      <c r="AT349" s="1">
        <v>1</v>
      </c>
      <c r="AU349" s="1">
        <v>2</v>
      </c>
      <c r="AV349" s="1">
        <v>1</v>
      </c>
      <c r="AW349" s="1">
        <v>0</v>
      </c>
      <c r="AX349" s="1">
        <v>2</v>
      </c>
      <c r="AY349" s="1">
        <v>2</v>
      </c>
      <c r="AZ349" s="1">
        <f t="shared" si="32"/>
        <v>14</v>
      </c>
    </row>
    <row r="350" spans="1:52" ht="15.75" customHeight="1" x14ac:dyDescent="0.3">
      <c r="A350" s="1" t="s">
        <v>1171</v>
      </c>
      <c r="B350" s="2" t="s">
        <v>1172</v>
      </c>
      <c r="C350" s="2">
        <v>160000013</v>
      </c>
      <c r="D350" s="2" t="s">
        <v>1141</v>
      </c>
      <c r="E350" s="1" t="s">
        <v>1142</v>
      </c>
      <c r="F350" s="2" t="s">
        <v>67</v>
      </c>
      <c r="G350" s="2" t="s">
        <v>86</v>
      </c>
      <c r="H350" s="2" t="s">
        <v>87</v>
      </c>
      <c r="I350" s="2" t="s">
        <v>409</v>
      </c>
      <c r="J350" s="1" t="s">
        <v>460</v>
      </c>
      <c r="K350" s="1">
        <v>6</v>
      </c>
      <c r="L350" s="1" t="s">
        <v>1143</v>
      </c>
      <c r="M350" s="1" t="s">
        <v>149</v>
      </c>
      <c r="N350" s="1" t="s">
        <v>148</v>
      </c>
      <c r="O350" s="1" t="s">
        <v>150</v>
      </c>
      <c r="P350" s="1" t="s">
        <v>12</v>
      </c>
      <c r="Q350" s="1" t="s">
        <v>80</v>
      </c>
      <c r="R350" s="2" t="s">
        <v>759</v>
      </c>
      <c r="S350" s="2"/>
      <c r="AF350" s="12"/>
      <c r="AG350" s="12"/>
      <c r="AH350" s="12"/>
      <c r="AI350" s="12"/>
      <c r="AJ350" s="12"/>
      <c r="AK350" s="12"/>
      <c r="AL350" s="12"/>
      <c r="AM350" s="14">
        <v>17</v>
      </c>
      <c r="AN350" s="14">
        <v>15</v>
      </c>
      <c r="AO350" s="3">
        <f t="shared" si="49"/>
        <v>0.88235294117647056</v>
      </c>
      <c r="AP350" s="14"/>
      <c r="AQ350" s="14"/>
      <c r="AR350" s="3"/>
      <c r="AZ350" s="1">
        <f t="shared" si="32"/>
        <v>0</v>
      </c>
    </row>
    <row r="351" spans="1:52" ht="15.75" customHeight="1" x14ac:dyDescent="0.3">
      <c r="A351" s="1" t="s">
        <v>1173</v>
      </c>
      <c r="B351" s="2" t="s">
        <v>1174</v>
      </c>
      <c r="C351" s="2">
        <v>160000051</v>
      </c>
      <c r="D351" s="2" t="s">
        <v>1097</v>
      </c>
      <c r="E351" s="1" t="s">
        <v>1098</v>
      </c>
      <c r="F351" s="2" t="s">
        <v>67</v>
      </c>
      <c r="G351" s="2" t="s">
        <v>86</v>
      </c>
      <c r="H351" s="2" t="s">
        <v>87</v>
      </c>
      <c r="I351" s="2" t="s">
        <v>409</v>
      </c>
      <c r="J351" s="1" t="s">
        <v>460</v>
      </c>
      <c r="K351" s="1">
        <v>6</v>
      </c>
      <c r="L351" s="1" t="s">
        <v>1099</v>
      </c>
      <c r="M351" s="1" t="s">
        <v>1100</v>
      </c>
      <c r="N351" s="1" t="s">
        <v>1099</v>
      </c>
      <c r="O351" s="1" t="s">
        <v>108</v>
      </c>
      <c r="P351" s="1" t="s">
        <v>12</v>
      </c>
      <c r="Q351" s="1" t="s">
        <v>80</v>
      </c>
      <c r="R351" s="2" t="s">
        <v>1039</v>
      </c>
      <c r="S351" s="2"/>
      <c r="AF351" s="12"/>
      <c r="AG351" s="12"/>
      <c r="AH351" s="12"/>
      <c r="AI351" s="12"/>
      <c r="AJ351" s="12"/>
      <c r="AK351" s="12"/>
      <c r="AL351" s="12"/>
      <c r="AM351" s="14">
        <v>22</v>
      </c>
      <c r="AN351" s="14">
        <v>22</v>
      </c>
      <c r="AO351" s="3">
        <f t="shared" si="49"/>
        <v>1</v>
      </c>
      <c r="AP351" s="14"/>
      <c r="AQ351" s="14"/>
      <c r="AR351" s="3"/>
      <c r="AZ351" s="1">
        <f t="shared" si="32"/>
        <v>0</v>
      </c>
    </row>
    <row r="352" spans="1:52" ht="15.75" customHeight="1" x14ac:dyDescent="0.3">
      <c r="A352" s="1" t="s">
        <v>1175</v>
      </c>
      <c r="B352" s="2" t="s">
        <v>1176</v>
      </c>
      <c r="C352" s="2">
        <v>260000015</v>
      </c>
      <c r="D352" s="2" t="s">
        <v>1154</v>
      </c>
      <c r="E352" s="1" t="s">
        <v>1155</v>
      </c>
      <c r="F352" s="2" t="s">
        <v>67</v>
      </c>
      <c r="G352" s="2" t="s">
        <v>68</v>
      </c>
      <c r="H352" s="2" t="s">
        <v>69</v>
      </c>
      <c r="I352" s="2" t="s">
        <v>409</v>
      </c>
      <c r="J352" s="1" t="s">
        <v>440</v>
      </c>
      <c r="K352" s="1">
        <v>6</v>
      </c>
      <c r="L352" s="1" t="s">
        <v>991</v>
      </c>
      <c r="M352" s="1" t="s">
        <v>992</v>
      </c>
      <c r="N352" s="1" t="s">
        <v>991</v>
      </c>
      <c r="O352" s="1" t="s">
        <v>150</v>
      </c>
      <c r="P352" s="1" t="s">
        <v>12</v>
      </c>
      <c r="Q352" s="1" t="s">
        <v>80</v>
      </c>
      <c r="R352" s="2" t="s">
        <v>1177</v>
      </c>
      <c r="S352" s="2"/>
      <c r="AF352" s="12"/>
      <c r="AG352" s="12"/>
      <c r="AH352" s="12"/>
      <c r="AI352" s="12"/>
      <c r="AJ352" s="12"/>
      <c r="AK352" s="12"/>
      <c r="AL352" s="12"/>
      <c r="AM352" s="14">
        <v>13</v>
      </c>
      <c r="AN352" s="14">
        <v>13</v>
      </c>
      <c r="AO352" s="3">
        <f t="shared" si="49"/>
        <v>1</v>
      </c>
      <c r="AP352" s="14"/>
      <c r="AQ352" s="14"/>
      <c r="AR352" s="3"/>
      <c r="AS352" s="1">
        <v>0</v>
      </c>
      <c r="AT352" s="1">
        <v>0</v>
      </c>
      <c r="AU352" s="1">
        <v>10</v>
      </c>
      <c r="AV352" s="1">
        <v>0</v>
      </c>
      <c r="AW352" s="1">
        <v>0</v>
      </c>
      <c r="AX352" s="1">
        <v>0</v>
      </c>
      <c r="AY352" s="1">
        <v>0</v>
      </c>
      <c r="AZ352" s="1">
        <f t="shared" si="32"/>
        <v>10</v>
      </c>
    </row>
    <row r="353" spans="1:52" ht="15.75" customHeight="1" x14ac:dyDescent="0.3">
      <c r="B353" s="1" t="s">
        <v>1178</v>
      </c>
      <c r="C353" s="2">
        <v>260000046</v>
      </c>
      <c r="D353" s="1" t="s">
        <v>1086</v>
      </c>
      <c r="E353" s="1" t="s">
        <v>1087</v>
      </c>
      <c r="F353" s="1" t="s">
        <v>67</v>
      </c>
      <c r="G353" s="1" t="s">
        <v>68</v>
      </c>
      <c r="H353" s="1" t="s">
        <v>69</v>
      </c>
      <c r="I353" s="1" t="s">
        <v>70</v>
      </c>
      <c r="J353" s="1" t="s">
        <v>440</v>
      </c>
      <c r="K353" s="1">
        <v>6</v>
      </c>
      <c r="L353" s="1" t="s">
        <v>986</v>
      </c>
      <c r="M353" s="1" t="s">
        <v>572</v>
      </c>
      <c r="N353" s="1" t="s">
        <v>573</v>
      </c>
      <c r="O353" s="1" t="s">
        <v>150</v>
      </c>
      <c r="P353" s="1" t="s">
        <v>12</v>
      </c>
      <c r="Q353" s="1" t="s">
        <v>75</v>
      </c>
      <c r="R353" s="1" t="s">
        <v>157</v>
      </c>
      <c r="S353" s="2"/>
      <c r="AE353" s="1" t="s">
        <v>138</v>
      </c>
      <c r="AH353" s="2"/>
      <c r="AI353" s="2"/>
      <c r="AJ353" s="2"/>
      <c r="AM353" s="14">
        <v>19</v>
      </c>
      <c r="AN353" s="14">
        <v>19</v>
      </c>
      <c r="AO353" s="14">
        <v>1</v>
      </c>
      <c r="AP353" s="14"/>
      <c r="AQ353" s="14"/>
      <c r="AZ353" s="1">
        <f t="shared" si="32"/>
        <v>0</v>
      </c>
    </row>
    <row r="354" spans="1:52" ht="15.75" customHeight="1" x14ac:dyDescent="0.3">
      <c r="A354" s="1" t="s">
        <v>1179</v>
      </c>
      <c r="B354" s="2" t="s">
        <v>1180</v>
      </c>
      <c r="C354" s="2">
        <v>160000013</v>
      </c>
      <c r="D354" s="2" t="s">
        <v>1141</v>
      </c>
      <c r="E354" s="1" t="s">
        <v>1142</v>
      </c>
      <c r="F354" s="2" t="s">
        <v>67</v>
      </c>
      <c r="G354" s="2" t="s">
        <v>86</v>
      </c>
      <c r="H354" s="2" t="s">
        <v>87</v>
      </c>
      <c r="I354" s="2" t="s">
        <v>409</v>
      </c>
      <c r="J354" s="1" t="s">
        <v>460</v>
      </c>
      <c r="K354" s="1">
        <v>6</v>
      </c>
      <c r="L354" s="1" t="s">
        <v>1143</v>
      </c>
      <c r="M354" s="1" t="s">
        <v>149</v>
      </c>
      <c r="N354" s="1" t="s">
        <v>148</v>
      </c>
      <c r="O354" s="1" t="s">
        <v>150</v>
      </c>
      <c r="P354" s="1" t="s">
        <v>12</v>
      </c>
      <c r="Q354" s="1" t="s">
        <v>141</v>
      </c>
      <c r="R354" s="2" t="s">
        <v>395</v>
      </c>
      <c r="S354" s="2"/>
      <c r="AF354" s="12"/>
      <c r="AG354" s="12"/>
      <c r="AH354" s="12"/>
      <c r="AI354" s="12"/>
      <c r="AJ354" s="12"/>
      <c r="AK354" s="12"/>
      <c r="AL354" s="12"/>
      <c r="AM354" s="14">
        <v>2</v>
      </c>
      <c r="AN354" s="14"/>
      <c r="AO354" s="3">
        <f t="shared" ref="AO354:AO357" si="50">AN354/AM354</f>
        <v>0</v>
      </c>
      <c r="AP354" s="14"/>
      <c r="AQ354" s="14"/>
      <c r="AR354" s="3"/>
      <c r="AZ354" s="1">
        <f t="shared" si="32"/>
        <v>0</v>
      </c>
    </row>
    <row r="355" spans="1:52" ht="15.75" customHeight="1" x14ac:dyDescent="0.3">
      <c r="A355" s="1" t="s">
        <v>1181</v>
      </c>
      <c r="B355" s="2" t="s">
        <v>1182</v>
      </c>
      <c r="C355" s="2">
        <v>160000013</v>
      </c>
      <c r="D355" s="2" t="s">
        <v>1141</v>
      </c>
      <c r="E355" s="1" t="s">
        <v>1142</v>
      </c>
      <c r="F355" s="2" t="s">
        <v>67</v>
      </c>
      <c r="G355" s="2" t="s">
        <v>86</v>
      </c>
      <c r="H355" s="2" t="s">
        <v>87</v>
      </c>
      <c r="I355" s="2" t="s">
        <v>409</v>
      </c>
      <c r="J355" s="1" t="s">
        <v>460</v>
      </c>
      <c r="K355" s="1">
        <v>6</v>
      </c>
      <c r="L355" s="1" t="s">
        <v>1143</v>
      </c>
      <c r="M355" s="1" t="s">
        <v>149</v>
      </c>
      <c r="N355" s="1" t="s">
        <v>148</v>
      </c>
      <c r="O355" s="1" t="s">
        <v>150</v>
      </c>
      <c r="P355" s="1" t="s">
        <v>12</v>
      </c>
      <c r="Q355" s="1" t="s">
        <v>141</v>
      </c>
      <c r="R355" s="2" t="s">
        <v>367</v>
      </c>
      <c r="S355" s="2"/>
      <c r="AF355" s="12"/>
      <c r="AG355" s="12"/>
      <c r="AH355" s="12"/>
      <c r="AI355" s="12"/>
      <c r="AJ355" s="12"/>
      <c r="AK355" s="12"/>
      <c r="AL355" s="12"/>
      <c r="AM355" s="14">
        <v>2</v>
      </c>
      <c r="AN355" s="14"/>
      <c r="AO355" s="3">
        <f t="shared" si="50"/>
        <v>0</v>
      </c>
      <c r="AP355" s="14"/>
      <c r="AQ355" s="14"/>
      <c r="AR355" s="3"/>
      <c r="AZ355" s="1">
        <f t="shared" si="32"/>
        <v>0</v>
      </c>
    </row>
    <row r="356" spans="1:52" ht="15.75" customHeight="1" x14ac:dyDescent="0.3">
      <c r="A356" s="1" t="s">
        <v>1183</v>
      </c>
      <c r="B356" s="2" t="s">
        <v>1184</v>
      </c>
      <c r="C356" s="2">
        <v>260000015</v>
      </c>
      <c r="D356" s="2" t="s">
        <v>1154</v>
      </c>
      <c r="E356" s="1" t="s">
        <v>1155</v>
      </c>
      <c r="F356" s="2" t="s">
        <v>67</v>
      </c>
      <c r="G356" s="2" t="s">
        <v>68</v>
      </c>
      <c r="H356" s="2" t="s">
        <v>69</v>
      </c>
      <c r="I356" s="2" t="s">
        <v>409</v>
      </c>
      <c r="J356" s="1" t="s">
        <v>440</v>
      </c>
      <c r="K356" s="1">
        <v>6</v>
      </c>
      <c r="L356" s="1" t="s">
        <v>991</v>
      </c>
      <c r="M356" s="1" t="s">
        <v>992</v>
      </c>
      <c r="N356" s="1" t="s">
        <v>991</v>
      </c>
      <c r="O356" s="1" t="s">
        <v>150</v>
      </c>
      <c r="P356" s="1" t="s">
        <v>12</v>
      </c>
      <c r="Q356" s="1" t="s">
        <v>75</v>
      </c>
      <c r="R356" s="2" t="s">
        <v>905</v>
      </c>
      <c r="S356" s="2"/>
      <c r="AF356" s="12"/>
      <c r="AG356" s="12"/>
      <c r="AH356" s="12"/>
      <c r="AI356" s="12"/>
      <c r="AJ356" s="12"/>
      <c r="AK356" s="12"/>
      <c r="AL356" s="12"/>
      <c r="AM356" s="14">
        <v>6</v>
      </c>
      <c r="AN356" s="14">
        <v>6</v>
      </c>
      <c r="AO356" s="3">
        <f t="shared" si="50"/>
        <v>1</v>
      </c>
      <c r="AP356" s="14"/>
      <c r="AQ356" s="14"/>
      <c r="AR356" s="3"/>
      <c r="AZ356" s="1">
        <f t="shared" si="32"/>
        <v>0</v>
      </c>
    </row>
    <row r="357" spans="1:52" ht="15.75" customHeight="1" x14ac:dyDescent="0.3">
      <c r="A357" s="1" t="s">
        <v>1185</v>
      </c>
      <c r="B357" s="2" t="s">
        <v>1186</v>
      </c>
      <c r="C357" s="2">
        <v>160000013</v>
      </c>
      <c r="D357" s="2" t="s">
        <v>1141</v>
      </c>
      <c r="E357" s="1" t="s">
        <v>1142</v>
      </c>
      <c r="F357" s="2" t="s">
        <v>67</v>
      </c>
      <c r="G357" s="2" t="s">
        <v>86</v>
      </c>
      <c r="H357" s="2" t="s">
        <v>87</v>
      </c>
      <c r="I357" s="2" t="s">
        <v>409</v>
      </c>
      <c r="J357" s="1" t="s">
        <v>460</v>
      </c>
      <c r="K357" s="1">
        <v>6</v>
      </c>
      <c r="L357" s="1" t="s">
        <v>1143</v>
      </c>
      <c r="M357" s="1" t="s">
        <v>149</v>
      </c>
      <c r="N357" s="1" t="s">
        <v>148</v>
      </c>
      <c r="O357" s="1" t="s">
        <v>150</v>
      </c>
      <c r="P357" s="1" t="s">
        <v>12</v>
      </c>
      <c r="Q357" s="1" t="s">
        <v>141</v>
      </c>
      <c r="R357" s="2" t="s">
        <v>1187</v>
      </c>
      <c r="S357" s="2"/>
      <c r="AF357" s="12"/>
      <c r="AG357" s="12"/>
      <c r="AH357" s="12"/>
      <c r="AI357" s="12"/>
      <c r="AJ357" s="12"/>
      <c r="AK357" s="12"/>
      <c r="AL357" s="12"/>
      <c r="AM357" s="14">
        <v>20</v>
      </c>
      <c r="AN357" s="14">
        <v>20</v>
      </c>
      <c r="AO357" s="3">
        <f t="shared" si="50"/>
        <v>1</v>
      </c>
      <c r="AP357" s="14"/>
      <c r="AQ357" s="14"/>
      <c r="AR357" s="3"/>
      <c r="AZ357" s="1">
        <f t="shared" si="32"/>
        <v>0</v>
      </c>
    </row>
    <row r="358" spans="1:52" ht="15.75" customHeight="1" x14ac:dyDescent="0.3">
      <c r="B358" s="1" t="s">
        <v>1188</v>
      </c>
      <c r="C358" s="2">
        <v>260000046</v>
      </c>
      <c r="D358" s="1" t="s">
        <v>1086</v>
      </c>
      <c r="E358" s="1" t="s">
        <v>1087</v>
      </c>
      <c r="F358" s="1" t="s">
        <v>67</v>
      </c>
      <c r="G358" s="1" t="s">
        <v>68</v>
      </c>
      <c r="H358" s="1" t="s">
        <v>69</v>
      </c>
      <c r="I358" s="1" t="s">
        <v>70</v>
      </c>
      <c r="J358" s="1" t="s">
        <v>440</v>
      </c>
      <c r="K358" s="1">
        <v>6</v>
      </c>
      <c r="L358" s="1" t="s">
        <v>986</v>
      </c>
      <c r="M358" s="1" t="s">
        <v>572</v>
      </c>
      <c r="N358" s="1" t="s">
        <v>573</v>
      </c>
      <c r="O358" s="1" t="s">
        <v>150</v>
      </c>
      <c r="P358" s="1" t="s">
        <v>12</v>
      </c>
      <c r="Q358" s="1" t="s">
        <v>75</v>
      </c>
      <c r="R358" s="1" t="s">
        <v>1189</v>
      </c>
      <c r="S358" s="2"/>
      <c r="AE358" s="1" t="s">
        <v>138</v>
      </c>
      <c r="AM358" s="14">
        <v>27</v>
      </c>
      <c r="AN358" s="14">
        <v>26</v>
      </c>
      <c r="AO358" s="14">
        <v>0.96296296296296291</v>
      </c>
      <c r="AP358" s="14"/>
      <c r="AQ358" s="14"/>
      <c r="AZ358" s="1">
        <f t="shared" si="32"/>
        <v>0</v>
      </c>
    </row>
    <row r="359" spans="1:52" ht="15.75" customHeight="1" x14ac:dyDescent="0.3">
      <c r="A359" s="1" t="s">
        <v>1190</v>
      </c>
      <c r="B359" s="2" t="s">
        <v>1191</v>
      </c>
      <c r="C359" s="2" t="s">
        <v>1192</v>
      </c>
      <c r="D359" s="1" t="s">
        <v>1193</v>
      </c>
      <c r="E359" s="1" t="s">
        <v>1194</v>
      </c>
      <c r="F359" s="1" t="s">
        <v>67</v>
      </c>
      <c r="G359" s="1" t="s">
        <v>68</v>
      </c>
      <c r="H359" s="1" t="s">
        <v>69</v>
      </c>
      <c r="I359" s="1" t="s">
        <v>70</v>
      </c>
      <c r="J359" s="1" t="s">
        <v>1195</v>
      </c>
      <c r="L359" s="1" t="s">
        <v>461</v>
      </c>
      <c r="M359" s="1" t="s">
        <v>462</v>
      </c>
      <c r="N359" s="1" t="s">
        <v>463</v>
      </c>
      <c r="O359" s="1" t="s">
        <v>150</v>
      </c>
      <c r="Q359" s="1" t="s">
        <v>80</v>
      </c>
      <c r="R359" s="1" t="s">
        <v>534</v>
      </c>
      <c r="S359" s="2"/>
      <c r="W359" s="1">
        <v>15</v>
      </c>
      <c r="AF359" s="12">
        <v>30</v>
      </c>
      <c r="AG359" s="12">
        <v>8</v>
      </c>
      <c r="AH359" s="12">
        <v>22</v>
      </c>
      <c r="AI359" s="12">
        <v>42.866666666666667</v>
      </c>
      <c r="AJ359" s="12">
        <v>59</v>
      </c>
      <c r="AK359" s="12">
        <v>28</v>
      </c>
      <c r="AL359" s="12">
        <v>9.2316297859991732</v>
      </c>
      <c r="AM359" s="14"/>
      <c r="AN359" s="14"/>
      <c r="AO359" s="14"/>
      <c r="AP359" s="14"/>
      <c r="AQ359" s="14"/>
      <c r="AR359" s="3"/>
      <c r="AZ359" s="1">
        <f t="shared" si="32"/>
        <v>0</v>
      </c>
    </row>
    <row r="360" spans="1:52" ht="15.75" customHeight="1" x14ac:dyDescent="0.3">
      <c r="A360" s="1" t="s">
        <v>1196</v>
      </c>
      <c r="B360" s="2" t="s">
        <v>1197</v>
      </c>
      <c r="C360" s="2" t="s">
        <v>1192</v>
      </c>
      <c r="D360" s="1" t="s">
        <v>1193</v>
      </c>
      <c r="E360" s="1" t="s">
        <v>1194</v>
      </c>
      <c r="F360" s="1" t="s">
        <v>67</v>
      </c>
      <c r="G360" s="1" t="s">
        <v>68</v>
      </c>
      <c r="H360" s="1" t="s">
        <v>69</v>
      </c>
      <c r="I360" s="1" t="s">
        <v>70</v>
      </c>
      <c r="J360" s="1" t="s">
        <v>1195</v>
      </c>
      <c r="L360" s="1" t="s">
        <v>461</v>
      </c>
      <c r="M360" s="1" t="s">
        <v>462</v>
      </c>
      <c r="N360" s="1" t="s">
        <v>463</v>
      </c>
      <c r="O360" s="1" t="s">
        <v>150</v>
      </c>
      <c r="Q360" s="1" t="s">
        <v>80</v>
      </c>
      <c r="R360" s="1" t="s">
        <v>254</v>
      </c>
      <c r="S360" s="2"/>
      <c r="T360" s="1">
        <v>15</v>
      </c>
      <c r="W360" s="1">
        <v>1</v>
      </c>
      <c r="AE360" s="1" t="s">
        <v>110</v>
      </c>
      <c r="AF360" s="12">
        <v>30</v>
      </c>
      <c r="AG360" s="12">
        <v>26</v>
      </c>
      <c r="AH360" s="12">
        <v>4</v>
      </c>
      <c r="AI360" s="12">
        <v>48</v>
      </c>
      <c r="AJ360" s="12">
        <v>48</v>
      </c>
      <c r="AK360" s="12">
        <v>48</v>
      </c>
      <c r="AL360" s="12">
        <v>0</v>
      </c>
      <c r="AM360" s="14"/>
      <c r="AN360" s="14"/>
      <c r="AO360" s="3"/>
      <c r="AP360" s="14">
        <v>0</v>
      </c>
      <c r="AQ360" s="14">
        <v>30</v>
      </c>
      <c r="AR360" s="3">
        <f>AP360/AQ360</f>
        <v>0</v>
      </c>
      <c r="AZ360" s="1">
        <f t="shared" si="32"/>
        <v>0</v>
      </c>
    </row>
    <row r="361" spans="1:52" ht="15.75" customHeight="1" x14ac:dyDescent="0.3">
      <c r="C361" s="2"/>
      <c r="S361" s="2"/>
      <c r="AM361" s="14"/>
      <c r="AN361" s="14"/>
      <c r="AO361" s="14"/>
      <c r="AP361" s="14"/>
      <c r="AQ361" s="14"/>
    </row>
    <row r="362" spans="1:52" ht="15.75" customHeight="1" x14ac:dyDescent="0.3">
      <c r="C362" s="2"/>
      <c r="S362" s="2"/>
      <c r="AM362" s="14"/>
      <c r="AN362" s="14"/>
      <c r="AO362" s="14"/>
      <c r="AP362" s="14"/>
      <c r="AQ362" s="14"/>
    </row>
    <row r="363" spans="1:52" ht="15.75" customHeight="1" x14ac:dyDescent="0.3">
      <c r="C363" s="2"/>
      <c r="S363" s="2"/>
      <c r="AM363" s="14"/>
      <c r="AN363" s="14"/>
      <c r="AO363" s="14"/>
      <c r="AP363" s="14"/>
      <c r="AQ363" s="14"/>
    </row>
    <row r="364" spans="1:52" ht="15.75" customHeight="1" x14ac:dyDescent="0.3">
      <c r="C364" s="2"/>
      <c r="S364" s="2"/>
      <c r="AM364" s="14"/>
      <c r="AN364" s="14"/>
      <c r="AO364" s="14"/>
      <c r="AP364" s="14"/>
      <c r="AQ364" s="14"/>
    </row>
    <row r="365" spans="1:52" ht="15.75" customHeight="1" x14ac:dyDescent="0.3">
      <c r="C365" s="2"/>
      <c r="S365" s="2"/>
      <c r="AM365" s="14"/>
      <c r="AN365" s="14"/>
      <c r="AO365" s="14"/>
      <c r="AP365" s="14"/>
      <c r="AQ365" s="14"/>
    </row>
    <row r="366" spans="1:52" ht="15.75" customHeight="1" x14ac:dyDescent="0.3">
      <c r="C366" s="2"/>
      <c r="S366" s="2"/>
      <c r="AM366" s="14"/>
      <c r="AN366" s="14"/>
      <c r="AO366" s="14"/>
      <c r="AP366" s="14"/>
      <c r="AQ366" s="14"/>
    </row>
    <row r="367" spans="1:52" ht="15.75" customHeight="1" x14ac:dyDescent="0.3">
      <c r="C367" s="2"/>
      <c r="S367" s="2"/>
      <c r="AM367" s="14"/>
      <c r="AN367" s="14"/>
      <c r="AO367" s="14"/>
      <c r="AP367" s="14"/>
      <c r="AQ367" s="14"/>
    </row>
    <row r="368" spans="1:52" ht="15.75" customHeight="1" x14ac:dyDescent="0.3">
      <c r="C368" s="2"/>
      <c r="S368" s="2"/>
      <c r="AM368" s="14"/>
      <c r="AN368" s="14"/>
      <c r="AO368" s="14"/>
      <c r="AP368" s="14"/>
      <c r="AQ368" s="14"/>
    </row>
    <row r="369" spans="3:43" ht="15.75" customHeight="1" x14ac:dyDescent="0.3">
      <c r="C369" s="2"/>
      <c r="S369" s="2"/>
      <c r="AM369" s="14"/>
      <c r="AN369" s="14"/>
      <c r="AO369" s="14"/>
      <c r="AP369" s="14"/>
      <c r="AQ369" s="14"/>
    </row>
    <row r="370" spans="3:43" ht="15.75" customHeight="1" x14ac:dyDescent="0.3">
      <c r="C370" s="2"/>
      <c r="S370" s="2"/>
      <c r="AM370" s="14"/>
      <c r="AN370" s="14"/>
      <c r="AO370" s="14"/>
      <c r="AP370" s="14"/>
      <c r="AQ370" s="14"/>
    </row>
    <row r="371" spans="3:43" ht="15.75" customHeight="1" x14ac:dyDescent="0.3">
      <c r="C371" s="2"/>
      <c r="S371" s="2"/>
      <c r="AM371" s="14"/>
      <c r="AN371" s="14"/>
      <c r="AO371" s="14"/>
      <c r="AP371" s="14"/>
      <c r="AQ371" s="14"/>
    </row>
    <row r="372" spans="3:43" ht="15.75" customHeight="1" x14ac:dyDescent="0.3">
      <c r="C372" s="2"/>
      <c r="S372" s="2"/>
      <c r="AM372" s="14"/>
      <c r="AN372" s="14"/>
      <c r="AO372" s="14"/>
      <c r="AP372" s="14"/>
      <c r="AQ372" s="14"/>
    </row>
    <row r="373" spans="3:43" ht="15.75" customHeight="1" x14ac:dyDescent="0.3">
      <c r="C373" s="2"/>
      <c r="S373" s="2"/>
      <c r="AM373" s="14"/>
      <c r="AN373" s="14"/>
      <c r="AO373" s="14"/>
      <c r="AP373" s="14"/>
      <c r="AQ373" s="14"/>
    </row>
    <row r="374" spans="3:43" ht="15.75" customHeight="1" x14ac:dyDescent="0.3">
      <c r="C374" s="2"/>
      <c r="S374" s="2"/>
      <c r="AM374" s="14"/>
      <c r="AN374" s="14"/>
      <c r="AO374" s="14"/>
      <c r="AP374" s="14"/>
      <c r="AQ374" s="14"/>
    </row>
    <row r="375" spans="3:43" ht="15.75" customHeight="1" x14ac:dyDescent="0.3">
      <c r="C375" s="2"/>
      <c r="S375" s="2"/>
      <c r="AM375" s="14"/>
      <c r="AN375" s="14"/>
      <c r="AO375" s="14"/>
      <c r="AP375" s="14"/>
      <c r="AQ375" s="14"/>
    </row>
    <row r="376" spans="3:43" ht="15.75" customHeight="1" x14ac:dyDescent="0.3">
      <c r="C376" s="2"/>
      <c r="S376" s="2"/>
      <c r="AM376" s="14"/>
      <c r="AN376" s="14"/>
      <c r="AO376" s="14"/>
      <c r="AP376" s="14"/>
      <c r="AQ376" s="14"/>
    </row>
    <row r="377" spans="3:43" ht="15.75" customHeight="1" x14ac:dyDescent="0.3">
      <c r="C377" s="2"/>
      <c r="S377" s="2"/>
    </row>
    <row r="378" spans="3:43" ht="15.75" customHeight="1" x14ac:dyDescent="0.3">
      <c r="C378" s="2"/>
      <c r="S378" s="2"/>
    </row>
    <row r="379" spans="3:43" ht="15.75" customHeight="1" x14ac:dyDescent="0.3">
      <c r="C379" s="2"/>
      <c r="S379" s="2"/>
    </row>
    <row r="380" spans="3:43" ht="15.75" customHeight="1" x14ac:dyDescent="0.3">
      <c r="C380" s="2"/>
      <c r="S380" s="2"/>
    </row>
    <row r="381" spans="3:43" ht="15.75" customHeight="1" x14ac:dyDescent="0.3">
      <c r="C381" s="2"/>
      <c r="S381" s="2"/>
    </row>
    <row r="382" spans="3:43" ht="15.75" customHeight="1" x14ac:dyDescent="0.3">
      <c r="C382" s="2"/>
      <c r="S382" s="2"/>
    </row>
    <row r="383" spans="3:43" ht="15.75" customHeight="1" x14ac:dyDescent="0.3">
      <c r="C383" s="2"/>
      <c r="S383" s="2"/>
    </row>
    <row r="384" spans="3:43" ht="15.75" customHeight="1" x14ac:dyDescent="0.3">
      <c r="C384" s="2"/>
      <c r="S384" s="2"/>
    </row>
    <row r="385" spans="3:19" ht="15.75" customHeight="1" x14ac:dyDescent="0.3">
      <c r="C385" s="2"/>
      <c r="S385" s="2"/>
    </row>
    <row r="386" spans="3:19" ht="15.75" customHeight="1" x14ac:dyDescent="0.3">
      <c r="C386" s="2"/>
      <c r="S386" s="2"/>
    </row>
    <row r="387" spans="3:19" ht="15.75" customHeight="1" x14ac:dyDescent="0.3">
      <c r="C387" s="2"/>
      <c r="S387" s="2"/>
    </row>
    <row r="388" spans="3:19" ht="15.75" customHeight="1" x14ac:dyDescent="0.3">
      <c r="C388" s="2"/>
      <c r="S388" s="2"/>
    </row>
    <row r="389" spans="3:19" ht="15.75" customHeight="1" x14ac:dyDescent="0.3">
      <c r="C389" s="2"/>
      <c r="S389" s="2"/>
    </row>
    <row r="390" spans="3:19" ht="15.75" customHeight="1" x14ac:dyDescent="0.3">
      <c r="C390" s="2"/>
      <c r="S390" s="2"/>
    </row>
    <row r="391" spans="3:19" ht="15.75" customHeight="1" x14ac:dyDescent="0.3">
      <c r="C391" s="2"/>
      <c r="S391" s="2"/>
    </row>
    <row r="392" spans="3:19" ht="15.75" customHeight="1" x14ac:dyDescent="0.3">
      <c r="C392" s="2"/>
      <c r="S392" s="2"/>
    </row>
    <row r="393" spans="3:19" ht="15.75" customHeight="1" x14ac:dyDescent="0.3">
      <c r="C393" s="2"/>
      <c r="S393" s="2"/>
    </row>
    <row r="394" spans="3:19" ht="15.75" customHeight="1" x14ac:dyDescent="0.3">
      <c r="C394" s="2"/>
      <c r="S394" s="2"/>
    </row>
    <row r="395" spans="3:19" ht="15.75" customHeight="1" x14ac:dyDescent="0.3">
      <c r="C395" s="2"/>
      <c r="S395" s="2"/>
    </row>
    <row r="396" spans="3:19" ht="15.75" customHeight="1" x14ac:dyDescent="0.3">
      <c r="C396" s="2"/>
      <c r="S396" s="2"/>
    </row>
    <row r="397" spans="3:19" ht="15.75" customHeight="1" x14ac:dyDescent="0.3">
      <c r="C397" s="2"/>
      <c r="S397" s="2"/>
    </row>
    <row r="398" spans="3:19" ht="15.75" customHeight="1" x14ac:dyDescent="0.3">
      <c r="C398" s="2"/>
      <c r="S398" s="2"/>
    </row>
    <row r="399" spans="3:19" ht="15.75" customHeight="1" x14ac:dyDescent="0.3">
      <c r="C399" s="2"/>
      <c r="S399" s="2"/>
    </row>
    <row r="400" spans="3:19" ht="15.75" customHeight="1" x14ac:dyDescent="0.3">
      <c r="C400" s="2"/>
      <c r="S400" s="2"/>
    </row>
    <row r="401" spans="3:19" ht="15.75" customHeight="1" x14ac:dyDescent="0.3">
      <c r="C401" s="2"/>
      <c r="S401" s="2"/>
    </row>
    <row r="402" spans="3:19" ht="15.75" customHeight="1" x14ac:dyDescent="0.3">
      <c r="C402" s="2"/>
      <c r="S402" s="2"/>
    </row>
    <row r="403" spans="3:19" ht="15.75" customHeight="1" x14ac:dyDescent="0.3">
      <c r="C403" s="2"/>
      <c r="S403" s="2"/>
    </row>
    <row r="404" spans="3:19" ht="15.75" customHeight="1" x14ac:dyDescent="0.3">
      <c r="C404" s="2"/>
      <c r="S404" s="2"/>
    </row>
    <row r="405" spans="3:19" ht="15.75" customHeight="1" x14ac:dyDescent="0.3">
      <c r="C405" s="2"/>
      <c r="S405" s="2"/>
    </row>
    <row r="406" spans="3:19" ht="15.75" customHeight="1" x14ac:dyDescent="0.3">
      <c r="C406" s="2"/>
      <c r="S406" s="2"/>
    </row>
    <row r="407" spans="3:19" ht="15.75" customHeight="1" x14ac:dyDescent="0.3">
      <c r="C407" s="2"/>
      <c r="S407" s="2"/>
    </row>
    <row r="408" spans="3:19" ht="15.75" customHeight="1" x14ac:dyDescent="0.3">
      <c r="C408" s="2"/>
      <c r="S408" s="2"/>
    </row>
    <row r="409" spans="3:19" ht="15.75" customHeight="1" x14ac:dyDescent="0.3">
      <c r="C409" s="2"/>
      <c r="S409" s="2"/>
    </row>
    <row r="410" spans="3:19" ht="15.75" customHeight="1" x14ac:dyDescent="0.3">
      <c r="C410" s="2"/>
      <c r="S410" s="2"/>
    </row>
    <row r="411" spans="3:19" ht="15.75" customHeight="1" x14ac:dyDescent="0.3">
      <c r="C411" s="2"/>
      <c r="S411" s="2"/>
    </row>
    <row r="412" spans="3:19" ht="15.75" customHeight="1" x14ac:dyDescent="0.3">
      <c r="C412" s="2"/>
      <c r="S412" s="2"/>
    </row>
    <row r="413" spans="3:19" ht="15.75" customHeight="1" x14ac:dyDescent="0.3">
      <c r="C413" s="2"/>
      <c r="S413" s="2"/>
    </row>
    <row r="414" spans="3:19" ht="15.75" customHeight="1" x14ac:dyDescent="0.3">
      <c r="C414" s="2"/>
      <c r="S414" s="2"/>
    </row>
    <row r="415" spans="3:19" ht="15.75" customHeight="1" x14ac:dyDescent="0.3">
      <c r="C415" s="2"/>
      <c r="S415" s="2"/>
    </row>
    <row r="416" spans="3:19" ht="15.75" customHeight="1" x14ac:dyDescent="0.3">
      <c r="C416" s="2"/>
      <c r="S416" s="2"/>
    </row>
    <row r="417" spans="3:19" ht="15.75" customHeight="1" x14ac:dyDescent="0.3">
      <c r="C417" s="2"/>
      <c r="S417" s="2"/>
    </row>
    <row r="418" spans="3:19" ht="15.75" customHeight="1" x14ac:dyDescent="0.3">
      <c r="C418" s="2"/>
      <c r="S418" s="2"/>
    </row>
    <row r="419" spans="3:19" ht="15.75" customHeight="1" x14ac:dyDescent="0.3">
      <c r="C419" s="2"/>
      <c r="S419" s="2"/>
    </row>
    <row r="420" spans="3:19" ht="15.75" customHeight="1" x14ac:dyDescent="0.3">
      <c r="C420" s="2"/>
      <c r="S420" s="2"/>
    </row>
    <row r="421" spans="3:19" ht="15.75" customHeight="1" x14ac:dyDescent="0.3">
      <c r="C421" s="2"/>
      <c r="S421" s="2"/>
    </row>
    <row r="422" spans="3:19" ht="15.75" customHeight="1" x14ac:dyDescent="0.3">
      <c r="C422" s="2"/>
      <c r="S422" s="2"/>
    </row>
    <row r="423" spans="3:19" ht="15.75" customHeight="1" x14ac:dyDescent="0.3">
      <c r="C423" s="2"/>
      <c r="S423" s="2"/>
    </row>
    <row r="424" spans="3:19" ht="15.75" customHeight="1" x14ac:dyDescent="0.3">
      <c r="C424" s="2"/>
      <c r="S424" s="2"/>
    </row>
    <row r="425" spans="3:19" ht="15.75" customHeight="1" x14ac:dyDescent="0.3">
      <c r="C425" s="2"/>
      <c r="S425" s="2"/>
    </row>
    <row r="426" spans="3:19" ht="15.75" customHeight="1" x14ac:dyDescent="0.3">
      <c r="C426" s="2"/>
      <c r="S426" s="2"/>
    </row>
    <row r="427" spans="3:19" ht="15.75" customHeight="1" x14ac:dyDescent="0.3">
      <c r="C427" s="2"/>
      <c r="S427" s="2"/>
    </row>
    <row r="428" spans="3:19" ht="15.75" customHeight="1" x14ac:dyDescent="0.3">
      <c r="C428" s="2"/>
      <c r="S428" s="2"/>
    </row>
    <row r="429" spans="3:19" ht="15.75" customHeight="1" x14ac:dyDescent="0.3">
      <c r="C429" s="2"/>
      <c r="S429" s="2"/>
    </row>
    <row r="430" spans="3:19" ht="15.75" customHeight="1" x14ac:dyDescent="0.3">
      <c r="C430" s="2"/>
      <c r="S430" s="2"/>
    </row>
    <row r="431" spans="3:19" ht="15.75" customHeight="1" x14ac:dyDescent="0.3">
      <c r="C431" s="2"/>
      <c r="S431" s="2"/>
    </row>
    <row r="432" spans="3:19" ht="15.75" customHeight="1" x14ac:dyDescent="0.3">
      <c r="C432" s="2"/>
      <c r="S432" s="2"/>
    </row>
    <row r="433" spans="3:19" ht="15.75" customHeight="1" x14ac:dyDescent="0.3">
      <c r="C433" s="2"/>
      <c r="S433" s="2"/>
    </row>
    <row r="434" spans="3:19" ht="15.75" customHeight="1" x14ac:dyDescent="0.3">
      <c r="C434" s="2"/>
      <c r="S434" s="2"/>
    </row>
    <row r="435" spans="3:19" ht="15.75" customHeight="1" x14ac:dyDescent="0.3">
      <c r="C435" s="2"/>
      <c r="S435" s="2"/>
    </row>
    <row r="436" spans="3:19" ht="15.75" customHeight="1" x14ac:dyDescent="0.3">
      <c r="C436" s="2"/>
      <c r="S436" s="2"/>
    </row>
    <row r="437" spans="3:19" ht="15.75" customHeight="1" x14ac:dyDescent="0.3">
      <c r="C437" s="2"/>
      <c r="S437" s="2"/>
    </row>
    <row r="438" spans="3:19" ht="15.75" customHeight="1" x14ac:dyDescent="0.3">
      <c r="C438" s="2"/>
      <c r="S438" s="2"/>
    </row>
    <row r="439" spans="3:19" ht="15.75" customHeight="1" x14ac:dyDescent="0.3">
      <c r="C439" s="2"/>
      <c r="S439" s="2"/>
    </row>
    <row r="440" spans="3:19" ht="15.75" customHeight="1" x14ac:dyDescent="0.3">
      <c r="C440" s="2"/>
      <c r="S440" s="2"/>
    </row>
    <row r="441" spans="3:19" ht="15.75" customHeight="1" x14ac:dyDescent="0.3">
      <c r="C441" s="2"/>
      <c r="S441" s="2"/>
    </row>
    <row r="442" spans="3:19" ht="15.75" customHeight="1" x14ac:dyDescent="0.3">
      <c r="C442" s="2"/>
      <c r="S442" s="2"/>
    </row>
    <row r="443" spans="3:19" ht="15.75" customHeight="1" x14ac:dyDescent="0.3">
      <c r="C443" s="2"/>
      <c r="S443" s="2"/>
    </row>
    <row r="444" spans="3:19" ht="15.75" customHeight="1" x14ac:dyDescent="0.3">
      <c r="C444" s="2"/>
      <c r="S444" s="2"/>
    </row>
    <row r="445" spans="3:19" ht="15.75" customHeight="1" x14ac:dyDescent="0.3">
      <c r="C445" s="2"/>
      <c r="S445" s="2"/>
    </row>
    <row r="446" spans="3:19" ht="15.75" customHeight="1" x14ac:dyDescent="0.3">
      <c r="C446" s="2"/>
      <c r="S446" s="2"/>
    </row>
    <row r="447" spans="3:19" ht="15.75" customHeight="1" x14ac:dyDescent="0.3">
      <c r="C447" s="2"/>
      <c r="S447" s="2"/>
    </row>
    <row r="448" spans="3:19" ht="15.75" customHeight="1" x14ac:dyDescent="0.3">
      <c r="C448" s="2"/>
      <c r="S448" s="2"/>
    </row>
    <row r="449" spans="3:19" ht="15.75" customHeight="1" x14ac:dyDescent="0.3">
      <c r="C449" s="2"/>
      <c r="S449" s="2"/>
    </row>
    <row r="450" spans="3:19" ht="15.75" customHeight="1" x14ac:dyDescent="0.3">
      <c r="C450" s="2"/>
      <c r="S450" s="2"/>
    </row>
    <row r="451" spans="3:19" ht="15.75" customHeight="1" x14ac:dyDescent="0.3">
      <c r="C451" s="2"/>
      <c r="S451" s="2"/>
    </row>
    <row r="452" spans="3:19" ht="15.75" customHeight="1" x14ac:dyDescent="0.3">
      <c r="C452" s="2"/>
      <c r="S452" s="2"/>
    </row>
    <row r="453" spans="3:19" ht="15.75" customHeight="1" x14ac:dyDescent="0.3">
      <c r="C453" s="2"/>
      <c r="S453" s="2"/>
    </row>
    <row r="454" spans="3:19" ht="15.75" customHeight="1" x14ac:dyDescent="0.3">
      <c r="C454" s="2"/>
      <c r="S454" s="2"/>
    </row>
    <row r="455" spans="3:19" ht="15.75" customHeight="1" x14ac:dyDescent="0.3">
      <c r="C455" s="2"/>
      <c r="S455" s="2"/>
    </row>
    <row r="456" spans="3:19" ht="15.75" customHeight="1" x14ac:dyDescent="0.3">
      <c r="C456" s="2"/>
      <c r="S456" s="2"/>
    </row>
    <row r="457" spans="3:19" ht="15.75" customHeight="1" x14ac:dyDescent="0.3">
      <c r="C457" s="2"/>
      <c r="S457" s="2"/>
    </row>
    <row r="458" spans="3:19" ht="15.75" customHeight="1" x14ac:dyDescent="0.3">
      <c r="C458" s="2"/>
      <c r="S458" s="2"/>
    </row>
    <row r="459" spans="3:19" ht="15.75" customHeight="1" x14ac:dyDescent="0.3">
      <c r="C459" s="2"/>
      <c r="S459" s="2"/>
    </row>
    <row r="460" spans="3:19" ht="15.75" customHeight="1" x14ac:dyDescent="0.3">
      <c r="C460" s="2"/>
      <c r="S460" s="2"/>
    </row>
    <row r="461" spans="3:19" ht="15.75" customHeight="1" x14ac:dyDescent="0.3">
      <c r="C461" s="2"/>
      <c r="S461" s="2"/>
    </row>
    <row r="462" spans="3:19" ht="15.75" customHeight="1" x14ac:dyDescent="0.3">
      <c r="C462" s="2"/>
      <c r="S462" s="2"/>
    </row>
    <row r="463" spans="3:19" ht="15.75" customHeight="1" x14ac:dyDescent="0.3">
      <c r="C463" s="2"/>
      <c r="S463" s="2"/>
    </row>
    <row r="464" spans="3:19" ht="15.75" customHeight="1" x14ac:dyDescent="0.3">
      <c r="C464" s="2"/>
      <c r="S464" s="2"/>
    </row>
    <row r="465" spans="3:19" ht="15.75" customHeight="1" x14ac:dyDescent="0.3">
      <c r="C465" s="2"/>
      <c r="S465" s="2"/>
    </row>
    <row r="466" spans="3:19" ht="15.75" customHeight="1" x14ac:dyDescent="0.3">
      <c r="C466" s="2"/>
      <c r="S466" s="2"/>
    </row>
    <row r="467" spans="3:19" ht="15.75" customHeight="1" x14ac:dyDescent="0.3">
      <c r="C467" s="2"/>
      <c r="S467" s="2"/>
    </row>
    <row r="468" spans="3:19" ht="15.75" customHeight="1" x14ac:dyDescent="0.3">
      <c r="C468" s="2"/>
      <c r="S468" s="2"/>
    </row>
    <row r="469" spans="3:19" ht="15.75" customHeight="1" x14ac:dyDescent="0.3">
      <c r="C469" s="2"/>
      <c r="S469" s="2"/>
    </row>
    <row r="470" spans="3:19" ht="15.75" customHeight="1" x14ac:dyDescent="0.3">
      <c r="C470" s="2"/>
      <c r="S470" s="2"/>
    </row>
    <row r="471" spans="3:19" ht="15.75" customHeight="1" x14ac:dyDescent="0.3">
      <c r="C471" s="2"/>
      <c r="S471" s="2"/>
    </row>
    <row r="472" spans="3:19" ht="15.75" customHeight="1" x14ac:dyDescent="0.3">
      <c r="C472" s="2"/>
      <c r="S472" s="2"/>
    </row>
    <row r="473" spans="3:19" ht="15.75" customHeight="1" x14ac:dyDescent="0.3">
      <c r="C473" s="2"/>
      <c r="S473" s="2"/>
    </row>
    <row r="474" spans="3:19" ht="15.75" customHeight="1" x14ac:dyDescent="0.3">
      <c r="C474" s="2"/>
      <c r="S474" s="2"/>
    </row>
    <row r="475" spans="3:19" ht="15.75" customHeight="1" x14ac:dyDescent="0.3">
      <c r="C475" s="2"/>
      <c r="S475" s="2"/>
    </row>
    <row r="476" spans="3:19" ht="15.75" customHeight="1" x14ac:dyDescent="0.3">
      <c r="C476" s="2"/>
      <c r="S476" s="2"/>
    </row>
    <row r="477" spans="3:19" ht="15.75" customHeight="1" x14ac:dyDescent="0.3">
      <c r="C477" s="2"/>
      <c r="S477" s="2"/>
    </row>
    <row r="478" spans="3:19" ht="15.75" customHeight="1" x14ac:dyDescent="0.3">
      <c r="C478" s="2"/>
      <c r="S478" s="2"/>
    </row>
    <row r="479" spans="3:19" ht="15.75" customHeight="1" x14ac:dyDescent="0.3">
      <c r="C479" s="2"/>
      <c r="S479" s="2"/>
    </row>
    <row r="480" spans="3:19" ht="15.75" customHeight="1" x14ac:dyDescent="0.3">
      <c r="C480" s="2"/>
      <c r="S480" s="2"/>
    </row>
    <row r="481" spans="3:19" ht="15.75" customHeight="1" x14ac:dyDescent="0.3">
      <c r="C481" s="2"/>
      <c r="S481" s="2"/>
    </row>
    <row r="482" spans="3:19" ht="15.75" customHeight="1" x14ac:dyDescent="0.3">
      <c r="C482" s="2"/>
      <c r="S482" s="2"/>
    </row>
    <row r="483" spans="3:19" ht="15.75" customHeight="1" x14ac:dyDescent="0.3">
      <c r="C483" s="2"/>
      <c r="S483" s="2"/>
    </row>
    <row r="484" spans="3:19" ht="15.75" customHeight="1" x14ac:dyDescent="0.3">
      <c r="C484" s="2"/>
      <c r="S484" s="2"/>
    </row>
    <row r="485" spans="3:19" ht="15.75" customHeight="1" x14ac:dyDescent="0.3">
      <c r="C485" s="2"/>
      <c r="S485" s="2"/>
    </row>
    <row r="486" spans="3:19" ht="15.75" customHeight="1" x14ac:dyDescent="0.3">
      <c r="C486" s="2"/>
      <c r="S486" s="2"/>
    </row>
    <row r="487" spans="3:19" ht="15.75" customHeight="1" x14ac:dyDescent="0.3">
      <c r="C487" s="2"/>
      <c r="S487" s="2"/>
    </row>
    <row r="488" spans="3:19" ht="15.75" customHeight="1" x14ac:dyDescent="0.3">
      <c r="C488" s="2"/>
      <c r="S488" s="2"/>
    </row>
    <row r="489" spans="3:19" ht="15.75" customHeight="1" x14ac:dyDescent="0.3">
      <c r="C489" s="2"/>
      <c r="S489" s="2"/>
    </row>
    <row r="490" spans="3:19" ht="15.75" customHeight="1" x14ac:dyDescent="0.3">
      <c r="C490" s="2"/>
      <c r="S490" s="2"/>
    </row>
    <row r="491" spans="3:19" ht="15.75" customHeight="1" x14ac:dyDescent="0.3">
      <c r="C491" s="2"/>
      <c r="S491" s="2"/>
    </row>
    <row r="492" spans="3:19" ht="15.75" customHeight="1" x14ac:dyDescent="0.3">
      <c r="C492" s="2"/>
      <c r="S492" s="2"/>
    </row>
    <row r="493" spans="3:19" ht="15.75" customHeight="1" x14ac:dyDescent="0.3">
      <c r="C493" s="2"/>
      <c r="S493" s="2"/>
    </row>
    <row r="494" spans="3:19" ht="15.75" customHeight="1" x14ac:dyDescent="0.3">
      <c r="C494" s="2"/>
      <c r="S494" s="2"/>
    </row>
    <row r="495" spans="3:19" ht="15.75" customHeight="1" x14ac:dyDescent="0.3">
      <c r="C495" s="2"/>
      <c r="S495" s="2"/>
    </row>
    <row r="496" spans="3:19" ht="15.75" customHeight="1" x14ac:dyDescent="0.3">
      <c r="C496" s="2"/>
      <c r="S496" s="2"/>
    </row>
    <row r="497" spans="3:19" ht="15.75" customHeight="1" x14ac:dyDescent="0.3">
      <c r="C497" s="2"/>
      <c r="S497" s="2"/>
    </row>
    <row r="498" spans="3:19" ht="15.75" customHeight="1" x14ac:dyDescent="0.3">
      <c r="C498" s="2"/>
      <c r="S498" s="2"/>
    </row>
    <row r="499" spans="3:19" ht="15.75" customHeight="1" x14ac:dyDescent="0.3">
      <c r="C499" s="2"/>
      <c r="S499" s="2"/>
    </row>
    <row r="500" spans="3:19" ht="15.75" customHeight="1" x14ac:dyDescent="0.3">
      <c r="C500" s="2"/>
      <c r="S500" s="2"/>
    </row>
    <row r="501" spans="3:19" ht="15.75" customHeight="1" x14ac:dyDescent="0.3">
      <c r="C501" s="2"/>
      <c r="S501" s="2"/>
    </row>
    <row r="502" spans="3:19" ht="15.75" customHeight="1" x14ac:dyDescent="0.3">
      <c r="C502" s="2"/>
      <c r="S502" s="2"/>
    </row>
    <row r="503" spans="3:19" ht="15.75" customHeight="1" x14ac:dyDescent="0.3">
      <c r="C503" s="2"/>
      <c r="S503" s="2"/>
    </row>
    <row r="504" spans="3:19" ht="15.75" customHeight="1" x14ac:dyDescent="0.3">
      <c r="C504" s="2"/>
      <c r="S504" s="2"/>
    </row>
    <row r="505" spans="3:19" ht="15.75" customHeight="1" x14ac:dyDescent="0.3">
      <c r="C505" s="2"/>
      <c r="S505" s="2"/>
    </row>
    <row r="506" spans="3:19" ht="15.75" customHeight="1" x14ac:dyDescent="0.3">
      <c r="C506" s="2"/>
      <c r="S506" s="2"/>
    </row>
    <row r="507" spans="3:19" ht="15.75" customHeight="1" x14ac:dyDescent="0.3">
      <c r="C507" s="2"/>
      <c r="S507" s="2"/>
    </row>
    <row r="508" spans="3:19" ht="15.75" customHeight="1" x14ac:dyDescent="0.3">
      <c r="C508" s="2"/>
      <c r="S508" s="2"/>
    </row>
    <row r="509" spans="3:19" ht="15.75" customHeight="1" x14ac:dyDescent="0.3">
      <c r="C509" s="2"/>
      <c r="S509" s="2"/>
    </row>
    <row r="510" spans="3:19" ht="15.75" customHeight="1" x14ac:dyDescent="0.3">
      <c r="C510" s="2"/>
      <c r="S510" s="2"/>
    </row>
    <row r="511" spans="3:19" ht="15.75" customHeight="1" x14ac:dyDescent="0.3">
      <c r="C511" s="2"/>
      <c r="S511" s="2"/>
    </row>
    <row r="512" spans="3:19" ht="15.75" customHeight="1" x14ac:dyDescent="0.3">
      <c r="C512" s="2"/>
      <c r="S512" s="2"/>
    </row>
    <row r="513" spans="3:19" ht="15.75" customHeight="1" x14ac:dyDescent="0.3">
      <c r="C513" s="2"/>
      <c r="S513" s="2"/>
    </row>
    <row r="514" spans="3:19" ht="15.75" customHeight="1" x14ac:dyDescent="0.3">
      <c r="C514" s="2"/>
      <c r="S514" s="2"/>
    </row>
    <row r="515" spans="3:19" ht="15.75" customHeight="1" x14ac:dyDescent="0.3">
      <c r="C515" s="2"/>
      <c r="S515" s="2"/>
    </row>
    <row r="516" spans="3:19" ht="15.75" customHeight="1" x14ac:dyDescent="0.3">
      <c r="C516" s="2"/>
      <c r="S516" s="2"/>
    </row>
    <row r="517" spans="3:19" ht="15.75" customHeight="1" x14ac:dyDescent="0.3">
      <c r="C517" s="2"/>
      <c r="S517" s="2"/>
    </row>
    <row r="518" spans="3:19" ht="15.75" customHeight="1" x14ac:dyDescent="0.3">
      <c r="C518" s="2"/>
      <c r="S518" s="2"/>
    </row>
    <row r="519" spans="3:19" ht="15.75" customHeight="1" x14ac:dyDescent="0.3">
      <c r="C519" s="2"/>
      <c r="S519" s="2"/>
    </row>
    <row r="520" spans="3:19" ht="15.75" customHeight="1" x14ac:dyDescent="0.3">
      <c r="C520" s="2"/>
      <c r="S520" s="2"/>
    </row>
    <row r="521" spans="3:19" ht="15.75" customHeight="1" x14ac:dyDescent="0.3">
      <c r="C521" s="2"/>
      <c r="S521" s="2"/>
    </row>
    <row r="522" spans="3:19" ht="15.75" customHeight="1" x14ac:dyDescent="0.3">
      <c r="C522" s="2"/>
      <c r="S522" s="2"/>
    </row>
    <row r="523" spans="3:19" ht="15.75" customHeight="1" x14ac:dyDescent="0.3">
      <c r="C523" s="2"/>
      <c r="S523" s="2"/>
    </row>
    <row r="524" spans="3:19" ht="15.75" customHeight="1" x14ac:dyDescent="0.3">
      <c r="C524" s="2"/>
      <c r="S524" s="2"/>
    </row>
    <row r="525" spans="3:19" ht="15.75" customHeight="1" x14ac:dyDescent="0.3">
      <c r="C525" s="2"/>
      <c r="S525" s="2"/>
    </row>
    <row r="526" spans="3:19" ht="15.75" customHeight="1" x14ac:dyDescent="0.3">
      <c r="C526" s="2"/>
      <c r="S526" s="2"/>
    </row>
    <row r="527" spans="3:19" ht="15.75" customHeight="1" x14ac:dyDescent="0.3">
      <c r="C527" s="2"/>
      <c r="S527" s="2"/>
    </row>
    <row r="528" spans="3:19" ht="15.75" customHeight="1" x14ac:dyDescent="0.3">
      <c r="C528" s="2"/>
      <c r="S528" s="2"/>
    </row>
    <row r="529" spans="3:19" ht="15.75" customHeight="1" x14ac:dyDescent="0.3">
      <c r="C529" s="2"/>
      <c r="S529" s="2"/>
    </row>
    <row r="530" spans="3:19" ht="15.75" customHeight="1" x14ac:dyDescent="0.3">
      <c r="C530" s="2"/>
      <c r="S530" s="2"/>
    </row>
    <row r="531" spans="3:19" ht="15.75" customHeight="1" x14ac:dyDescent="0.3">
      <c r="C531" s="2"/>
      <c r="S531" s="2"/>
    </row>
    <row r="532" spans="3:19" ht="15.75" customHeight="1" x14ac:dyDescent="0.3">
      <c r="C532" s="2"/>
      <c r="S532" s="2"/>
    </row>
    <row r="533" spans="3:19" ht="15.75" customHeight="1" x14ac:dyDescent="0.3">
      <c r="C533" s="2"/>
      <c r="S533" s="2"/>
    </row>
    <row r="534" spans="3:19" ht="15.75" customHeight="1" x14ac:dyDescent="0.3">
      <c r="C534" s="2"/>
      <c r="S534" s="2"/>
    </row>
    <row r="535" spans="3:19" ht="15.75" customHeight="1" x14ac:dyDescent="0.3">
      <c r="C535" s="2"/>
      <c r="S535" s="2"/>
    </row>
    <row r="536" spans="3:19" ht="15.75" customHeight="1" x14ac:dyDescent="0.3">
      <c r="C536" s="2"/>
      <c r="S536" s="2"/>
    </row>
    <row r="537" spans="3:19" ht="15.75" customHeight="1" x14ac:dyDescent="0.3">
      <c r="C537" s="2"/>
      <c r="S537" s="2"/>
    </row>
    <row r="538" spans="3:19" ht="15.75" customHeight="1" x14ac:dyDescent="0.3">
      <c r="C538" s="2"/>
      <c r="S538" s="2"/>
    </row>
    <row r="539" spans="3:19" ht="15.75" customHeight="1" x14ac:dyDescent="0.3">
      <c r="C539" s="2"/>
      <c r="S539" s="2"/>
    </row>
    <row r="540" spans="3:19" ht="15.75" customHeight="1" x14ac:dyDescent="0.3">
      <c r="C540" s="2"/>
      <c r="S540" s="2"/>
    </row>
    <row r="541" spans="3:19" ht="15.75" customHeight="1" x14ac:dyDescent="0.3">
      <c r="C541" s="2"/>
      <c r="S541" s="2"/>
    </row>
    <row r="542" spans="3:19" ht="15.75" customHeight="1" x14ac:dyDescent="0.3">
      <c r="C542" s="2"/>
      <c r="S542" s="2"/>
    </row>
    <row r="543" spans="3:19" ht="15.75" customHeight="1" x14ac:dyDescent="0.3">
      <c r="C543" s="2"/>
      <c r="S543" s="2"/>
    </row>
    <row r="544" spans="3:19" ht="15.75" customHeight="1" x14ac:dyDescent="0.3">
      <c r="C544" s="2"/>
      <c r="S544" s="2"/>
    </row>
    <row r="545" spans="3:19" ht="15.75" customHeight="1" x14ac:dyDescent="0.3">
      <c r="C545" s="2"/>
      <c r="S545" s="2"/>
    </row>
    <row r="546" spans="3:19" ht="15.75" customHeight="1" x14ac:dyDescent="0.3">
      <c r="C546" s="2"/>
      <c r="S546" s="2"/>
    </row>
    <row r="547" spans="3:19" ht="15.75" customHeight="1" x14ac:dyDescent="0.3">
      <c r="C547" s="2"/>
      <c r="S547" s="2"/>
    </row>
    <row r="548" spans="3:19" ht="15.75" customHeight="1" x14ac:dyDescent="0.3">
      <c r="C548" s="2"/>
      <c r="S548" s="2"/>
    </row>
    <row r="549" spans="3:19" ht="15.75" customHeight="1" x14ac:dyDescent="0.3">
      <c r="C549" s="2"/>
      <c r="S549" s="2"/>
    </row>
    <row r="550" spans="3:19" ht="15.75" customHeight="1" x14ac:dyDescent="0.3">
      <c r="C550" s="2"/>
      <c r="S550" s="2"/>
    </row>
    <row r="551" spans="3:19" ht="15.75" customHeight="1" x14ac:dyDescent="0.3">
      <c r="C551" s="2"/>
      <c r="S551" s="2"/>
    </row>
    <row r="552" spans="3:19" ht="15.75" customHeight="1" x14ac:dyDescent="0.3">
      <c r="C552" s="2"/>
      <c r="S552" s="2"/>
    </row>
    <row r="553" spans="3:19" ht="15.75" customHeight="1" x14ac:dyDescent="0.3">
      <c r="C553" s="2"/>
      <c r="S553" s="2"/>
    </row>
    <row r="554" spans="3:19" ht="15.75" customHeight="1" x14ac:dyDescent="0.3">
      <c r="C554" s="2"/>
      <c r="S554" s="2"/>
    </row>
    <row r="555" spans="3:19" ht="15.75" customHeight="1" x14ac:dyDescent="0.3">
      <c r="C555" s="2"/>
      <c r="S555" s="2"/>
    </row>
    <row r="556" spans="3:19" ht="15.75" customHeight="1" x14ac:dyDescent="0.3">
      <c r="C556" s="2"/>
      <c r="S556" s="2"/>
    </row>
    <row r="557" spans="3:19" ht="15.75" customHeight="1" x14ac:dyDescent="0.3">
      <c r="C557" s="2"/>
      <c r="S557" s="2"/>
    </row>
    <row r="558" spans="3:19" ht="15.75" customHeight="1" x14ac:dyDescent="0.3">
      <c r="C558" s="2"/>
      <c r="S558" s="2"/>
    </row>
    <row r="559" spans="3:19" ht="15.75" customHeight="1" x14ac:dyDescent="0.3">
      <c r="C559" s="2"/>
      <c r="S559" s="2"/>
    </row>
    <row r="560" spans="3:19" ht="15.75" customHeight="1" x14ac:dyDescent="0.3">
      <c r="C560" s="2"/>
      <c r="S560" s="2"/>
    </row>
    <row r="561" spans="3:19" ht="15.75" customHeight="1" x14ac:dyDescent="0.3">
      <c r="C561" s="2"/>
      <c r="S561" s="2"/>
    </row>
    <row r="562" spans="3:19" ht="15.75" customHeight="1" x14ac:dyDescent="0.3">
      <c r="C562" s="2"/>
      <c r="S562" s="2"/>
    </row>
    <row r="563" spans="3:19" ht="15.75" customHeight="1" x14ac:dyDescent="0.3">
      <c r="C563" s="2"/>
      <c r="S563" s="2"/>
    </row>
    <row r="564" spans="3:19" ht="15.75" customHeight="1" x14ac:dyDescent="0.3">
      <c r="C564" s="2"/>
      <c r="S564" s="2"/>
    </row>
    <row r="565" spans="3:19" ht="15.75" customHeight="1" x14ac:dyDescent="0.3">
      <c r="C565" s="2"/>
      <c r="S565" s="2"/>
    </row>
    <row r="566" spans="3:19" ht="15.75" customHeight="1" x14ac:dyDescent="0.3">
      <c r="C566" s="2"/>
      <c r="S566" s="2"/>
    </row>
    <row r="567" spans="3:19" ht="15.75" customHeight="1" x14ac:dyDescent="0.3">
      <c r="C567" s="2"/>
      <c r="S567" s="2"/>
    </row>
    <row r="568" spans="3:19" ht="15.75" customHeight="1" x14ac:dyDescent="0.3">
      <c r="C568" s="2"/>
      <c r="S568" s="2"/>
    </row>
    <row r="569" spans="3:19" ht="15.75" customHeight="1" x14ac:dyDescent="0.3">
      <c r="C569" s="2"/>
      <c r="S569" s="2"/>
    </row>
    <row r="570" spans="3:19" ht="15.75" customHeight="1" x14ac:dyDescent="0.3">
      <c r="C570" s="2"/>
      <c r="S570" s="2"/>
    </row>
    <row r="571" spans="3:19" ht="15.75" customHeight="1" x14ac:dyDescent="0.3">
      <c r="C571" s="2"/>
      <c r="S571" s="2"/>
    </row>
    <row r="572" spans="3:19" ht="15.75" customHeight="1" x14ac:dyDescent="0.3">
      <c r="C572" s="2"/>
      <c r="S572" s="2"/>
    </row>
    <row r="573" spans="3:19" ht="15.75" customHeight="1" x14ac:dyDescent="0.3">
      <c r="C573" s="2"/>
      <c r="S573" s="2"/>
    </row>
    <row r="574" spans="3:19" ht="15.75" customHeight="1" x14ac:dyDescent="0.3">
      <c r="C574" s="2"/>
      <c r="S574" s="2"/>
    </row>
    <row r="575" spans="3:19" ht="15.75" customHeight="1" x14ac:dyDescent="0.3">
      <c r="C575" s="2"/>
      <c r="S575" s="2"/>
    </row>
    <row r="576" spans="3:19" ht="15.75" customHeight="1" x14ac:dyDescent="0.3">
      <c r="C576" s="2"/>
      <c r="S576" s="2"/>
    </row>
    <row r="577" spans="3:19" ht="15.75" customHeight="1" x14ac:dyDescent="0.3">
      <c r="C577" s="2"/>
      <c r="S577" s="2"/>
    </row>
    <row r="578" spans="3:19" ht="15.75" customHeight="1" x14ac:dyDescent="0.3">
      <c r="C578" s="2"/>
      <c r="S578" s="2"/>
    </row>
    <row r="579" spans="3:19" ht="15.75" customHeight="1" x14ac:dyDescent="0.3">
      <c r="C579" s="2"/>
      <c r="S579" s="2"/>
    </row>
    <row r="580" spans="3:19" ht="15.75" customHeight="1" x14ac:dyDescent="0.3">
      <c r="C580" s="2"/>
      <c r="S580" s="2"/>
    </row>
    <row r="581" spans="3:19" ht="15.75" customHeight="1" x14ac:dyDescent="0.3">
      <c r="C581" s="2"/>
      <c r="S581" s="2"/>
    </row>
    <row r="582" spans="3:19" ht="15.75" customHeight="1" x14ac:dyDescent="0.3">
      <c r="C582" s="2"/>
      <c r="S582" s="2"/>
    </row>
    <row r="583" spans="3:19" ht="15.75" customHeight="1" x14ac:dyDescent="0.3">
      <c r="C583" s="2"/>
      <c r="S583" s="2"/>
    </row>
    <row r="584" spans="3:19" ht="15.75" customHeight="1" x14ac:dyDescent="0.3">
      <c r="C584" s="2"/>
      <c r="S584" s="2"/>
    </row>
    <row r="585" spans="3:19" ht="15.75" customHeight="1" x14ac:dyDescent="0.3">
      <c r="C585" s="2"/>
      <c r="S585" s="2"/>
    </row>
    <row r="586" spans="3:19" ht="15.75" customHeight="1" x14ac:dyDescent="0.3">
      <c r="C586" s="2"/>
      <c r="S586" s="2"/>
    </row>
    <row r="587" spans="3:19" ht="15.75" customHeight="1" x14ac:dyDescent="0.3">
      <c r="C587" s="2"/>
      <c r="S587" s="2"/>
    </row>
    <row r="588" spans="3:19" ht="15.75" customHeight="1" x14ac:dyDescent="0.3">
      <c r="C588" s="2"/>
      <c r="S588" s="2"/>
    </row>
    <row r="589" spans="3:19" ht="15.75" customHeight="1" x14ac:dyDescent="0.3">
      <c r="C589" s="2"/>
      <c r="S589" s="2"/>
    </row>
    <row r="590" spans="3:19" ht="15.75" customHeight="1" x14ac:dyDescent="0.3">
      <c r="C590" s="2"/>
      <c r="S590" s="2"/>
    </row>
    <row r="591" spans="3:19" ht="15.75" customHeight="1" x14ac:dyDescent="0.3">
      <c r="C591" s="2"/>
      <c r="S591" s="2"/>
    </row>
    <row r="592" spans="3:19" ht="15.75" customHeight="1" x14ac:dyDescent="0.3">
      <c r="C592" s="2"/>
      <c r="S592" s="2"/>
    </row>
    <row r="593" spans="3:19" ht="15.75" customHeight="1" x14ac:dyDescent="0.3">
      <c r="C593" s="2"/>
      <c r="S593" s="2"/>
    </row>
    <row r="594" spans="3:19" ht="15.75" customHeight="1" x14ac:dyDescent="0.3">
      <c r="C594" s="2"/>
      <c r="S594" s="2"/>
    </row>
    <row r="595" spans="3:19" ht="15.75" customHeight="1" x14ac:dyDescent="0.3">
      <c r="C595" s="2"/>
      <c r="S595" s="2"/>
    </row>
    <row r="596" spans="3:19" ht="15.75" customHeight="1" x14ac:dyDescent="0.3">
      <c r="C596" s="2"/>
      <c r="S596" s="2"/>
    </row>
    <row r="597" spans="3:19" ht="15.75" customHeight="1" x14ac:dyDescent="0.3">
      <c r="C597" s="2"/>
      <c r="S597" s="2"/>
    </row>
    <row r="598" spans="3:19" ht="15.75" customHeight="1" x14ac:dyDescent="0.3">
      <c r="C598" s="2"/>
      <c r="S598" s="2"/>
    </row>
    <row r="599" spans="3:19" ht="15.75" customHeight="1" x14ac:dyDescent="0.3">
      <c r="C599" s="2"/>
      <c r="S599" s="2"/>
    </row>
    <row r="600" spans="3:19" ht="15.75" customHeight="1" x14ac:dyDescent="0.3">
      <c r="C600" s="2"/>
      <c r="S600" s="2"/>
    </row>
    <row r="601" spans="3:19" ht="15.75" customHeight="1" x14ac:dyDescent="0.3">
      <c r="C601" s="2"/>
      <c r="S601" s="2"/>
    </row>
    <row r="602" spans="3:19" ht="15.75" customHeight="1" x14ac:dyDescent="0.3">
      <c r="C602" s="2"/>
      <c r="S602" s="2"/>
    </row>
    <row r="603" spans="3:19" ht="15.75" customHeight="1" x14ac:dyDescent="0.3">
      <c r="C603" s="2"/>
      <c r="S603" s="2"/>
    </row>
    <row r="604" spans="3:19" ht="15.75" customHeight="1" x14ac:dyDescent="0.3">
      <c r="C604" s="2"/>
      <c r="S604" s="2"/>
    </row>
    <row r="605" spans="3:19" ht="15.75" customHeight="1" x14ac:dyDescent="0.3">
      <c r="C605" s="2"/>
      <c r="S605" s="2"/>
    </row>
    <row r="606" spans="3:19" ht="15.75" customHeight="1" x14ac:dyDescent="0.3">
      <c r="C606" s="2"/>
      <c r="S606" s="2"/>
    </row>
    <row r="607" spans="3:19" ht="15.75" customHeight="1" x14ac:dyDescent="0.3">
      <c r="C607" s="2"/>
      <c r="S607" s="2"/>
    </row>
    <row r="608" spans="3:19" ht="15.75" customHeight="1" x14ac:dyDescent="0.3">
      <c r="C608" s="2"/>
      <c r="S608" s="2"/>
    </row>
    <row r="609" spans="3:19" ht="15.75" customHeight="1" x14ac:dyDescent="0.3">
      <c r="C609" s="2"/>
      <c r="S609" s="2"/>
    </row>
    <row r="610" spans="3:19" ht="15.75" customHeight="1" x14ac:dyDescent="0.3">
      <c r="C610" s="2"/>
      <c r="S610" s="2"/>
    </row>
    <row r="611" spans="3:19" ht="15.75" customHeight="1" x14ac:dyDescent="0.3">
      <c r="C611" s="2"/>
      <c r="S611" s="2"/>
    </row>
    <row r="612" spans="3:19" ht="15.75" customHeight="1" x14ac:dyDescent="0.3">
      <c r="C612" s="2"/>
      <c r="S612" s="2"/>
    </row>
    <row r="613" spans="3:19" ht="15.75" customHeight="1" x14ac:dyDescent="0.3">
      <c r="C613" s="2"/>
      <c r="S613" s="2"/>
    </row>
    <row r="614" spans="3:19" ht="15.75" customHeight="1" x14ac:dyDescent="0.3">
      <c r="C614" s="2"/>
      <c r="S614" s="2"/>
    </row>
    <row r="615" spans="3:19" ht="15.75" customHeight="1" x14ac:dyDescent="0.3">
      <c r="C615" s="2"/>
      <c r="S615" s="2"/>
    </row>
    <row r="616" spans="3:19" ht="15.75" customHeight="1" x14ac:dyDescent="0.3">
      <c r="C616" s="2"/>
      <c r="S616" s="2"/>
    </row>
    <row r="617" spans="3:19" ht="15.75" customHeight="1" x14ac:dyDescent="0.3">
      <c r="C617" s="2"/>
      <c r="S617" s="2"/>
    </row>
    <row r="618" spans="3:19" ht="15.75" customHeight="1" x14ac:dyDescent="0.3">
      <c r="C618" s="2"/>
      <c r="S618" s="2"/>
    </row>
    <row r="619" spans="3:19" ht="15.75" customHeight="1" x14ac:dyDescent="0.3">
      <c r="C619" s="2"/>
      <c r="S619" s="2"/>
    </row>
    <row r="620" spans="3:19" ht="15.75" customHeight="1" x14ac:dyDescent="0.3">
      <c r="C620" s="2"/>
      <c r="S620" s="2"/>
    </row>
    <row r="621" spans="3:19" ht="15.75" customHeight="1" x14ac:dyDescent="0.3">
      <c r="C621" s="2"/>
      <c r="S621" s="2"/>
    </row>
    <row r="622" spans="3:19" ht="15.75" customHeight="1" x14ac:dyDescent="0.3">
      <c r="C622" s="2"/>
      <c r="S622" s="2"/>
    </row>
    <row r="623" spans="3:19" ht="15.75" customHeight="1" x14ac:dyDescent="0.3">
      <c r="C623" s="2"/>
      <c r="S623" s="2"/>
    </row>
    <row r="624" spans="3:19" ht="15.75" customHeight="1" x14ac:dyDescent="0.3">
      <c r="C624" s="2"/>
      <c r="S624" s="2"/>
    </row>
    <row r="625" spans="3:19" ht="15.75" customHeight="1" x14ac:dyDescent="0.3">
      <c r="C625" s="2"/>
      <c r="S625" s="2"/>
    </row>
    <row r="626" spans="3:19" ht="15.75" customHeight="1" x14ac:dyDescent="0.3">
      <c r="C626" s="2"/>
      <c r="S626" s="2"/>
    </row>
    <row r="627" spans="3:19" ht="15.75" customHeight="1" x14ac:dyDescent="0.3">
      <c r="C627" s="2"/>
      <c r="S627" s="2"/>
    </row>
    <row r="628" spans="3:19" ht="15.75" customHeight="1" x14ac:dyDescent="0.3">
      <c r="C628" s="2"/>
      <c r="S628" s="2"/>
    </row>
    <row r="629" spans="3:19" ht="15.75" customHeight="1" x14ac:dyDescent="0.3">
      <c r="C629" s="2"/>
      <c r="S629" s="2"/>
    </row>
    <row r="630" spans="3:19" ht="15.75" customHeight="1" x14ac:dyDescent="0.3">
      <c r="C630" s="2"/>
      <c r="S630" s="2"/>
    </row>
    <row r="631" spans="3:19" ht="15.75" customHeight="1" x14ac:dyDescent="0.3">
      <c r="C631" s="2"/>
      <c r="S631" s="2"/>
    </row>
    <row r="632" spans="3:19" ht="15.75" customHeight="1" x14ac:dyDescent="0.3">
      <c r="C632" s="2"/>
      <c r="S632" s="2"/>
    </row>
    <row r="633" spans="3:19" ht="15.75" customHeight="1" x14ac:dyDescent="0.3">
      <c r="C633" s="2"/>
      <c r="S633" s="2"/>
    </row>
    <row r="634" spans="3:19" ht="15.75" customHeight="1" x14ac:dyDescent="0.3">
      <c r="C634" s="2"/>
      <c r="S634" s="2"/>
    </row>
    <row r="635" spans="3:19" ht="15.75" customHeight="1" x14ac:dyDescent="0.3">
      <c r="C635" s="2"/>
      <c r="S635" s="2"/>
    </row>
    <row r="636" spans="3:19" ht="15.75" customHeight="1" x14ac:dyDescent="0.3">
      <c r="C636" s="2"/>
      <c r="S636" s="2"/>
    </row>
    <row r="637" spans="3:19" ht="15.75" customHeight="1" x14ac:dyDescent="0.3">
      <c r="C637" s="2"/>
      <c r="S637" s="2"/>
    </row>
    <row r="638" spans="3:19" ht="15.75" customHeight="1" x14ac:dyDescent="0.3">
      <c r="C638" s="2"/>
      <c r="S638" s="2"/>
    </row>
    <row r="639" spans="3:19" ht="15.75" customHeight="1" x14ac:dyDescent="0.3">
      <c r="C639" s="2"/>
      <c r="S639" s="2"/>
    </row>
    <row r="640" spans="3:19" ht="15.75" customHeight="1" x14ac:dyDescent="0.3">
      <c r="C640" s="2"/>
      <c r="S640" s="2"/>
    </row>
    <row r="641" spans="3:19" ht="15.75" customHeight="1" x14ac:dyDescent="0.3">
      <c r="C641" s="2"/>
      <c r="S641" s="2"/>
    </row>
    <row r="642" spans="3:19" ht="15.75" customHeight="1" x14ac:dyDescent="0.3">
      <c r="C642" s="2"/>
      <c r="S642" s="2"/>
    </row>
    <row r="643" spans="3:19" ht="15.75" customHeight="1" x14ac:dyDescent="0.3">
      <c r="C643" s="2"/>
      <c r="S643" s="2"/>
    </row>
    <row r="644" spans="3:19" ht="15.75" customHeight="1" x14ac:dyDescent="0.3">
      <c r="C644" s="2"/>
      <c r="S644" s="2"/>
    </row>
    <row r="645" spans="3:19" ht="15.75" customHeight="1" x14ac:dyDescent="0.3">
      <c r="C645" s="2"/>
      <c r="S645" s="2"/>
    </row>
    <row r="646" spans="3:19" ht="15.75" customHeight="1" x14ac:dyDescent="0.3">
      <c r="C646" s="2"/>
      <c r="S646" s="2"/>
    </row>
    <row r="647" spans="3:19" ht="15.75" customHeight="1" x14ac:dyDescent="0.3">
      <c r="C647" s="2"/>
      <c r="S647" s="2"/>
    </row>
    <row r="648" spans="3:19" ht="15.75" customHeight="1" x14ac:dyDescent="0.3">
      <c r="C648" s="2"/>
      <c r="S648" s="2"/>
    </row>
    <row r="649" spans="3:19" ht="15.75" customHeight="1" x14ac:dyDescent="0.3">
      <c r="C649" s="2"/>
      <c r="S649" s="2"/>
    </row>
    <row r="650" spans="3:19" ht="15.75" customHeight="1" x14ac:dyDescent="0.3">
      <c r="C650" s="2"/>
      <c r="S650" s="2"/>
    </row>
    <row r="651" spans="3:19" ht="15.75" customHeight="1" x14ac:dyDescent="0.3">
      <c r="C651" s="2"/>
      <c r="S651" s="2"/>
    </row>
    <row r="652" spans="3:19" ht="15.75" customHeight="1" x14ac:dyDescent="0.3">
      <c r="C652" s="2"/>
      <c r="S652" s="2"/>
    </row>
    <row r="653" spans="3:19" ht="15.75" customHeight="1" x14ac:dyDescent="0.3">
      <c r="C653" s="2"/>
      <c r="S653" s="2"/>
    </row>
    <row r="654" spans="3:19" ht="15.75" customHeight="1" x14ac:dyDescent="0.3">
      <c r="C654" s="2"/>
      <c r="S654" s="2"/>
    </row>
    <row r="655" spans="3:19" ht="15.75" customHeight="1" x14ac:dyDescent="0.3">
      <c r="C655" s="2"/>
      <c r="S655" s="2"/>
    </row>
    <row r="656" spans="3:19" ht="15.75" customHeight="1" x14ac:dyDescent="0.3">
      <c r="C656" s="2"/>
      <c r="S656" s="2"/>
    </row>
    <row r="657" spans="3:19" ht="15.75" customHeight="1" x14ac:dyDescent="0.3">
      <c r="C657" s="2"/>
      <c r="S657" s="2"/>
    </row>
    <row r="658" spans="3:19" ht="15.75" customHeight="1" x14ac:dyDescent="0.3">
      <c r="C658" s="2"/>
      <c r="S658" s="2"/>
    </row>
    <row r="659" spans="3:19" ht="15.75" customHeight="1" x14ac:dyDescent="0.3">
      <c r="C659" s="2"/>
      <c r="S659" s="2"/>
    </row>
    <row r="660" spans="3:19" ht="15.75" customHeight="1" x14ac:dyDescent="0.3">
      <c r="C660" s="2"/>
      <c r="S660" s="2"/>
    </row>
    <row r="661" spans="3:19" ht="15.75" customHeight="1" x14ac:dyDescent="0.3">
      <c r="C661" s="2"/>
      <c r="S661" s="2"/>
    </row>
    <row r="662" spans="3:19" ht="15.75" customHeight="1" x14ac:dyDescent="0.3">
      <c r="C662" s="2"/>
      <c r="S662" s="2"/>
    </row>
    <row r="663" spans="3:19" ht="15.75" customHeight="1" x14ac:dyDescent="0.3">
      <c r="C663" s="2"/>
      <c r="S663" s="2"/>
    </row>
    <row r="664" spans="3:19" ht="15.75" customHeight="1" x14ac:dyDescent="0.3">
      <c r="C664" s="2"/>
      <c r="S664" s="2"/>
    </row>
    <row r="665" spans="3:19" ht="15.75" customHeight="1" x14ac:dyDescent="0.3">
      <c r="C665" s="2"/>
      <c r="S665" s="2"/>
    </row>
    <row r="666" spans="3:19" ht="15.75" customHeight="1" x14ac:dyDescent="0.3">
      <c r="C666" s="2"/>
      <c r="S666" s="2"/>
    </row>
    <row r="667" spans="3:19" ht="15.75" customHeight="1" x14ac:dyDescent="0.3">
      <c r="C667" s="2"/>
      <c r="S667" s="2"/>
    </row>
    <row r="668" spans="3:19" ht="15.75" customHeight="1" x14ac:dyDescent="0.3">
      <c r="C668" s="2"/>
      <c r="S668" s="2"/>
    </row>
    <row r="669" spans="3:19" ht="15.75" customHeight="1" x14ac:dyDescent="0.3">
      <c r="C669" s="2"/>
      <c r="S669" s="2"/>
    </row>
    <row r="670" spans="3:19" ht="15.75" customHeight="1" x14ac:dyDescent="0.3">
      <c r="C670" s="2"/>
      <c r="S670" s="2"/>
    </row>
    <row r="671" spans="3:19" ht="15.75" customHeight="1" x14ac:dyDescent="0.3">
      <c r="C671" s="2"/>
      <c r="S671" s="2"/>
    </row>
    <row r="672" spans="3:19" ht="15.75" customHeight="1" x14ac:dyDescent="0.3">
      <c r="C672" s="2"/>
      <c r="S672" s="2"/>
    </row>
    <row r="673" spans="3:19" ht="15.75" customHeight="1" x14ac:dyDescent="0.3">
      <c r="C673" s="2"/>
      <c r="S673" s="2"/>
    </row>
    <row r="674" spans="3:19" ht="15.75" customHeight="1" x14ac:dyDescent="0.3">
      <c r="C674" s="2"/>
      <c r="S674" s="2"/>
    </row>
    <row r="675" spans="3:19" ht="15.75" customHeight="1" x14ac:dyDescent="0.3">
      <c r="C675" s="2"/>
      <c r="S675" s="2"/>
    </row>
    <row r="676" spans="3:19" ht="15.75" customHeight="1" x14ac:dyDescent="0.3">
      <c r="C676" s="2"/>
      <c r="S676" s="2"/>
    </row>
    <row r="677" spans="3:19" ht="15.75" customHeight="1" x14ac:dyDescent="0.3">
      <c r="C677" s="2"/>
      <c r="S677" s="2"/>
    </row>
    <row r="678" spans="3:19" ht="15.75" customHeight="1" x14ac:dyDescent="0.3">
      <c r="C678" s="2"/>
      <c r="S678" s="2"/>
    </row>
    <row r="679" spans="3:19" ht="15.75" customHeight="1" x14ac:dyDescent="0.3">
      <c r="C679" s="2"/>
      <c r="S679" s="2"/>
    </row>
    <row r="680" spans="3:19" ht="15.75" customHeight="1" x14ac:dyDescent="0.3">
      <c r="C680" s="2"/>
      <c r="S680" s="2"/>
    </row>
    <row r="681" spans="3:19" ht="15.75" customHeight="1" x14ac:dyDescent="0.3">
      <c r="C681" s="2"/>
      <c r="S681" s="2"/>
    </row>
    <row r="682" spans="3:19" ht="15.75" customHeight="1" x14ac:dyDescent="0.3">
      <c r="C682" s="2"/>
      <c r="S682" s="2"/>
    </row>
    <row r="683" spans="3:19" ht="15.75" customHeight="1" x14ac:dyDescent="0.3">
      <c r="C683" s="2"/>
      <c r="S683" s="2"/>
    </row>
    <row r="684" spans="3:19" ht="15.75" customHeight="1" x14ac:dyDescent="0.3">
      <c r="C684" s="2"/>
      <c r="S684" s="2"/>
    </row>
    <row r="685" spans="3:19" ht="15.75" customHeight="1" x14ac:dyDescent="0.3">
      <c r="C685" s="2"/>
      <c r="S685" s="2"/>
    </row>
    <row r="686" spans="3:19" ht="15.75" customHeight="1" x14ac:dyDescent="0.3">
      <c r="C686" s="2"/>
      <c r="S686" s="2"/>
    </row>
    <row r="687" spans="3:19" ht="15.75" customHeight="1" x14ac:dyDescent="0.3">
      <c r="C687" s="2"/>
      <c r="S687" s="2"/>
    </row>
    <row r="688" spans="3:19" ht="15.75" customHeight="1" x14ac:dyDescent="0.3">
      <c r="C688" s="2"/>
      <c r="S688" s="2"/>
    </row>
    <row r="689" spans="3:19" ht="15.75" customHeight="1" x14ac:dyDescent="0.3">
      <c r="C689" s="2"/>
      <c r="S689" s="2"/>
    </row>
    <row r="690" spans="3:19" ht="15.75" customHeight="1" x14ac:dyDescent="0.3">
      <c r="C690" s="2"/>
      <c r="S690" s="2"/>
    </row>
    <row r="691" spans="3:19" ht="15.75" customHeight="1" x14ac:dyDescent="0.3">
      <c r="C691" s="2"/>
      <c r="S691" s="2"/>
    </row>
    <row r="692" spans="3:19" ht="15.75" customHeight="1" x14ac:dyDescent="0.3">
      <c r="C692" s="2"/>
      <c r="S692" s="2"/>
    </row>
    <row r="693" spans="3:19" ht="15.75" customHeight="1" x14ac:dyDescent="0.3">
      <c r="C693" s="2"/>
      <c r="S693" s="2"/>
    </row>
    <row r="694" spans="3:19" ht="15.75" customHeight="1" x14ac:dyDescent="0.3">
      <c r="C694" s="2"/>
      <c r="S694" s="2"/>
    </row>
    <row r="695" spans="3:19" ht="15.75" customHeight="1" x14ac:dyDescent="0.3">
      <c r="C695" s="2"/>
      <c r="S695" s="2"/>
    </row>
    <row r="696" spans="3:19" ht="15.75" customHeight="1" x14ac:dyDescent="0.3">
      <c r="C696" s="2"/>
      <c r="S696" s="2"/>
    </row>
    <row r="697" spans="3:19" ht="15.75" customHeight="1" x14ac:dyDescent="0.3">
      <c r="C697" s="2"/>
      <c r="S697" s="2"/>
    </row>
    <row r="698" spans="3:19" ht="15.75" customHeight="1" x14ac:dyDescent="0.3">
      <c r="C698" s="2"/>
      <c r="S698" s="2"/>
    </row>
    <row r="699" spans="3:19" ht="15.75" customHeight="1" x14ac:dyDescent="0.3">
      <c r="C699" s="2"/>
      <c r="S699" s="2"/>
    </row>
    <row r="700" spans="3:19" ht="15.75" customHeight="1" x14ac:dyDescent="0.3">
      <c r="C700" s="2"/>
      <c r="S700" s="2"/>
    </row>
    <row r="701" spans="3:19" ht="15.75" customHeight="1" x14ac:dyDescent="0.3">
      <c r="C701" s="2"/>
      <c r="S701" s="2"/>
    </row>
    <row r="702" spans="3:19" ht="15.75" customHeight="1" x14ac:dyDescent="0.3">
      <c r="C702" s="2"/>
      <c r="S702" s="2"/>
    </row>
    <row r="703" spans="3:19" ht="15.75" customHeight="1" x14ac:dyDescent="0.3">
      <c r="C703" s="2"/>
      <c r="S703" s="2"/>
    </row>
    <row r="704" spans="3:19" ht="15.75" customHeight="1" x14ac:dyDescent="0.3">
      <c r="C704" s="2"/>
      <c r="S704" s="2"/>
    </row>
    <row r="705" spans="3:19" ht="15.75" customHeight="1" x14ac:dyDescent="0.3">
      <c r="C705" s="2"/>
      <c r="S705" s="2"/>
    </row>
    <row r="706" spans="3:19" ht="15.75" customHeight="1" x14ac:dyDescent="0.3">
      <c r="C706" s="2"/>
      <c r="S706" s="2"/>
    </row>
    <row r="707" spans="3:19" ht="15.75" customHeight="1" x14ac:dyDescent="0.3">
      <c r="C707" s="2"/>
      <c r="S707" s="2"/>
    </row>
    <row r="708" spans="3:19" ht="15.75" customHeight="1" x14ac:dyDescent="0.3">
      <c r="C708" s="2"/>
      <c r="S708" s="2"/>
    </row>
    <row r="709" spans="3:19" ht="15.75" customHeight="1" x14ac:dyDescent="0.3">
      <c r="C709" s="2"/>
      <c r="S709" s="2"/>
    </row>
    <row r="710" spans="3:19" ht="15.75" customHeight="1" x14ac:dyDescent="0.3">
      <c r="C710" s="2"/>
      <c r="S710" s="2"/>
    </row>
    <row r="711" spans="3:19" ht="15.75" customHeight="1" x14ac:dyDescent="0.3">
      <c r="C711" s="2"/>
      <c r="S711" s="2"/>
    </row>
    <row r="712" spans="3:19" ht="15.75" customHeight="1" x14ac:dyDescent="0.3">
      <c r="C712" s="2"/>
      <c r="S712" s="2"/>
    </row>
    <row r="713" spans="3:19" ht="15.75" customHeight="1" x14ac:dyDescent="0.3">
      <c r="C713" s="2"/>
      <c r="S713" s="2"/>
    </row>
    <row r="714" spans="3:19" ht="15.75" customHeight="1" x14ac:dyDescent="0.3">
      <c r="C714" s="2"/>
      <c r="S714" s="2"/>
    </row>
    <row r="715" spans="3:19" ht="15.75" customHeight="1" x14ac:dyDescent="0.3">
      <c r="C715" s="2"/>
      <c r="S715" s="2"/>
    </row>
    <row r="716" spans="3:19" ht="15.75" customHeight="1" x14ac:dyDescent="0.3">
      <c r="C716" s="2"/>
      <c r="S716" s="2"/>
    </row>
    <row r="717" spans="3:19" ht="15.75" customHeight="1" x14ac:dyDescent="0.3">
      <c r="C717" s="2"/>
      <c r="S717" s="2"/>
    </row>
    <row r="718" spans="3:19" ht="15.75" customHeight="1" x14ac:dyDescent="0.3">
      <c r="C718" s="2"/>
      <c r="S718" s="2"/>
    </row>
    <row r="719" spans="3:19" ht="15.75" customHeight="1" x14ac:dyDescent="0.3">
      <c r="C719" s="2"/>
      <c r="S719" s="2"/>
    </row>
    <row r="720" spans="3:19" ht="15.75" customHeight="1" x14ac:dyDescent="0.3">
      <c r="C720" s="2"/>
      <c r="S720" s="2"/>
    </row>
    <row r="721" spans="3:19" ht="15.75" customHeight="1" x14ac:dyDescent="0.3">
      <c r="C721" s="2"/>
      <c r="S721" s="2"/>
    </row>
    <row r="722" spans="3:19" ht="15.75" customHeight="1" x14ac:dyDescent="0.3">
      <c r="C722" s="2"/>
      <c r="S722" s="2"/>
    </row>
    <row r="723" spans="3:19" ht="15.75" customHeight="1" x14ac:dyDescent="0.3">
      <c r="C723" s="2"/>
      <c r="S723" s="2"/>
    </row>
    <row r="724" spans="3:19" ht="15.75" customHeight="1" x14ac:dyDescent="0.3">
      <c r="C724" s="2"/>
      <c r="S724" s="2"/>
    </row>
    <row r="725" spans="3:19" ht="15.75" customHeight="1" x14ac:dyDescent="0.3">
      <c r="C725" s="2"/>
      <c r="S725" s="2"/>
    </row>
    <row r="726" spans="3:19" ht="15.75" customHeight="1" x14ac:dyDescent="0.3">
      <c r="C726" s="2"/>
      <c r="S726" s="2"/>
    </row>
    <row r="727" spans="3:19" ht="15.75" customHeight="1" x14ac:dyDescent="0.3">
      <c r="C727" s="2"/>
      <c r="S727" s="2"/>
    </row>
    <row r="728" spans="3:19" ht="15.75" customHeight="1" x14ac:dyDescent="0.3">
      <c r="C728" s="2"/>
      <c r="S728" s="2"/>
    </row>
    <row r="729" spans="3:19" ht="15.75" customHeight="1" x14ac:dyDescent="0.3">
      <c r="C729" s="2"/>
      <c r="S729" s="2"/>
    </row>
    <row r="730" spans="3:19" ht="15.75" customHeight="1" x14ac:dyDescent="0.3">
      <c r="C730" s="2"/>
      <c r="S730" s="2"/>
    </row>
    <row r="731" spans="3:19" ht="15.75" customHeight="1" x14ac:dyDescent="0.3">
      <c r="C731" s="2"/>
      <c r="S731" s="2"/>
    </row>
    <row r="732" spans="3:19" ht="15.75" customHeight="1" x14ac:dyDescent="0.3">
      <c r="C732" s="2"/>
      <c r="S732" s="2"/>
    </row>
    <row r="733" spans="3:19" ht="15.75" customHeight="1" x14ac:dyDescent="0.3">
      <c r="C733" s="2"/>
      <c r="S733" s="2"/>
    </row>
    <row r="734" spans="3:19" ht="15.75" customHeight="1" x14ac:dyDescent="0.3">
      <c r="C734" s="2"/>
      <c r="S734" s="2"/>
    </row>
    <row r="735" spans="3:19" ht="15.75" customHeight="1" x14ac:dyDescent="0.3">
      <c r="C735" s="2"/>
      <c r="S735" s="2"/>
    </row>
    <row r="736" spans="3:19" ht="15.75" customHeight="1" x14ac:dyDescent="0.3">
      <c r="C736" s="2"/>
      <c r="S736" s="2"/>
    </row>
    <row r="737" spans="3:19" ht="15.75" customHeight="1" x14ac:dyDescent="0.3">
      <c r="C737" s="2"/>
      <c r="S737" s="2"/>
    </row>
    <row r="738" spans="3:19" ht="15.75" customHeight="1" x14ac:dyDescent="0.3">
      <c r="C738" s="2"/>
      <c r="S738" s="2"/>
    </row>
    <row r="739" spans="3:19" ht="15.75" customHeight="1" x14ac:dyDescent="0.3">
      <c r="C739" s="2"/>
      <c r="S739" s="2"/>
    </row>
    <row r="740" spans="3:19" ht="15.75" customHeight="1" x14ac:dyDescent="0.3">
      <c r="C740" s="2"/>
      <c r="S740" s="2"/>
    </row>
    <row r="741" spans="3:19" ht="15.75" customHeight="1" x14ac:dyDescent="0.3">
      <c r="C741" s="2"/>
      <c r="S741" s="2"/>
    </row>
    <row r="742" spans="3:19" ht="15.75" customHeight="1" x14ac:dyDescent="0.3">
      <c r="C742" s="2"/>
      <c r="S742" s="2"/>
    </row>
    <row r="743" spans="3:19" ht="15.75" customHeight="1" x14ac:dyDescent="0.3">
      <c r="C743" s="2"/>
      <c r="S743" s="2"/>
    </row>
    <row r="744" spans="3:19" ht="15.75" customHeight="1" x14ac:dyDescent="0.3">
      <c r="C744" s="2"/>
      <c r="S744" s="2"/>
    </row>
    <row r="745" spans="3:19" ht="15.75" customHeight="1" x14ac:dyDescent="0.3">
      <c r="C745" s="2"/>
      <c r="S745" s="2"/>
    </row>
    <row r="746" spans="3:19" ht="15.75" customHeight="1" x14ac:dyDescent="0.3">
      <c r="C746" s="2"/>
      <c r="S746" s="2"/>
    </row>
    <row r="747" spans="3:19" ht="15.75" customHeight="1" x14ac:dyDescent="0.3">
      <c r="C747" s="2"/>
      <c r="S747" s="2"/>
    </row>
    <row r="748" spans="3:19" ht="15.75" customHeight="1" x14ac:dyDescent="0.3">
      <c r="C748" s="2"/>
      <c r="S748" s="2"/>
    </row>
    <row r="749" spans="3:19" ht="15.75" customHeight="1" x14ac:dyDescent="0.3">
      <c r="C749" s="2"/>
      <c r="S749" s="2"/>
    </row>
    <row r="750" spans="3:19" ht="15.75" customHeight="1" x14ac:dyDescent="0.3">
      <c r="C750" s="2"/>
      <c r="S750" s="2"/>
    </row>
    <row r="751" spans="3:19" ht="15.75" customHeight="1" x14ac:dyDescent="0.3">
      <c r="C751" s="2"/>
      <c r="S751" s="2"/>
    </row>
    <row r="752" spans="3:19" ht="15.75" customHeight="1" x14ac:dyDescent="0.3">
      <c r="C752" s="2"/>
      <c r="S752" s="2"/>
    </row>
    <row r="753" spans="3:19" ht="15.75" customHeight="1" x14ac:dyDescent="0.3">
      <c r="C753" s="2"/>
      <c r="S753" s="2"/>
    </row>
    <row r="754" spans="3:19" ht="15.75" customHeight="1" x14ac:dyDescent="0.3">
      <c r="C754" s="2"/>
      <c r="S754" s="2"/>
    </row>
    <row r="755" spans="3:19" ht="15.75" customHeight="1" x14ac:dyDescent="0.3">
      <c r="C755" s="2"/>
      <c r="S755" s="2"/>
    </row>
    <row r="756" spans="3:19" ht="15.75" customHeight="1" x14ac:dyDescent="0.3">
      <c r="C756" s="2"/>
      <c r="S756" s="2"/>
    </row>
    <row r="757" spans="3:19" ht="15.75" customHeight="1" x14ac:dyDescent="0.3">
      <c r="C757" s="2"/>
      <c r="S757" s="2"/>
    </row>
    <row r="758" spans="3:19" ht="15.75" customHeight="1" x14ac:dyDescent="0.3">
      <c r="C758" s="2"/>
      <c r="S758" s="2"/>
    </row>
    <row r="759" spans="3:19" ht="15.75" customHeight="1" x14ac:dyDescent="0.3">
      <c r="C759" s="2"/>
      <c r="S759" s="2"/>
    </row>
    <row r="760" spans="3:19" ht="15.75" customHeight="1" x14ac:dyDescent="0.3">
      <c r="C760" s="2"/>
      <c r="S760" s="2"/>
    </row>
    <row r="761" spans="3:19" ht="15.75" customHeight="1" x14ac:dyDescent="0.3">
      <c r="C761" s="2"/>
      <c r="S761" s="2"/>
    </row>
    <row r="762" spans="3:19" ht="15.75" customHeight="1" x14ac:dyDescent="0.3">
      <c r="C762" s="2"/>
      <c r="S762" s="2"/>
    </row>
    <row r="763" spans="3:19" ht="15.75" customHeight="1" x14ac:dyDescent="0.3">
      <c r="C763" s="2"/>
      <c r="S763" s="2"/>
    </row>
    <row r="764" spans="3:19" ht="15.75" customHeight="1" x14ac:dyDescent="0.3">
      <c r="C764" s="2"/>
      <c r="S764" s="2"/>
    </row>
    <row r="765" spans="3:19" ht="15.75" customHeight="1" x14ac:dyDescent="0.3">
      <c r="C765" s="2"/>
      <c r="S765" s="2"/>
    </row>
    <row r="766" spans="3:19" ht="15.75" customHeight="1" x14ac:dyDescent="0.3">
      <c r="C766" s="2"/>
      <c r="S766" s="2"/>
    </row>
    <row r="767" spans="3:19" ht="15.75" customHeight="1" x14ac:dyDescent="0.3">
      <c r="C767" s="2"/>
      <c r="S767" s="2"/>
    </row>
    <row r="768" spans="3:19" ht="15.75" customHeight="1" x14ac:dyDescent="0.3">
      <c r="C768" s="2"/>
      <c r="S768" s="2"/>
    </row>
    <row r="769" spans="3:19" ht="15.75" customHeight="1" x14ac:dyDescent="0.3">
      <c r="C769" s="2"/>
      <c r="S769" s="2"/>
    </row>
    <row r="770" spans="3:19" ht="15.75" customHeight="1" x14ac:dyDescent="0.3">
      <c r="C770" s="2"/>
      <c r="S770" s="2"/>
    </row>
    <row r="771" spans="3:19" ht="15.75" customHeight="1" x14ac:dyDescent="0.3">
      <c r="C771" s="2"/>
      <c r="S771" s="2"/>
    </row>
    <row r="772" spans="3:19" ht="15.75" customHeight="1" x14ac:dyDescent="0.3">
      <c r="C772" s="2"/>
      <c r="S772" s="2"/>
    </row>
    <row r="773" spans="3:19" ht="15.75" customHeight="1" x14ac:dyDescent="0.3">
      <c r="C773" s="2"/>
      <c r="S773" s="2"/>
    </row>
    <row r="774" spans="3:19" ht="15.75" customHeight="1" x14ac:dyDescent="0.3">
      <c r="C774" s="2"/>
      <c r="S774" s="2"/>
    </row>
    <row r="775" spans="3:19" ht="15.75" customHeight="1" x14ac:dyDescent="0.3">
      <c r="C775" s="2"/>
      <c r="S775" s="2"/>
    </row>
    <row r="776" spans="3:19" ht="15.75" customHeight="1" x14ac:dyDescent="0.3">
      <c r="C776" s="2"/>
      <c r="S776" s="2"/>
    </row>
    <row r="777" spans="3:19" ht="15.75" customHeight="1" x14ac:dyDescent="0.3">
      <c r="C777" s="2"/>
      <c r="S777" s="2"/>
    </row>
    <row r="778" spans="3:19" ht="15.75" customHeight="1" x14ac:dyDescent="0.3">
      <c r="C778" s="2"/>
      <c r="S778" s="2"/>
    </row>
    <row r="779" spans="3:19" ht="15.75" customHeight="1" x14ac:dyDescent="0.3">
      <c r="C779" s="2"/>
      <c r="S779" s="2"/>
    </row>
    <row r="780" spans="3:19" ht="15.75" customHeight="1" x14ac:dyDescent="0.3">
      <c r="C780" s="2"/>
      <c r="S780" s="2"/>
    </row>
    <row r="781" spans="3:19" ht="15.75" customHeight="1" x14ac:dyDescent="0.3">
      <c r="C781" s="2"/>
      <c r="S781" s="2"/>
    </row>
    <row r="782" spans="3:19" ht="15.75" customHeight="1" x14ac:dyDescent="0.3">
      <c r="C782" s="2"/>
      <c r="S782" s="2"/>
    </row>
    <row r="783" spans="3:19" ht="15.75" customHeight="1" x14ac:dyDescent="0.3">
      <c r="C783" s="2"/>
      <c r="S783" s="2"/>
    </row>
    <row r="784" spans="3:19" ht="15.75" customHeight="1" x14ac:dyDescent="0.3">
      <c r="C784" s="2"/>
      <c r="S784" s="2"/>
    </row>
    <row r="785" spans="3:19" ht="15.75" customHeight="1" x14ac:dyDescent="0.3">
      <c r="C785" s="2"/>
      <c r="S785" s="2"/>
    </row>
    <row r="786" spans="3:19" ht="15.75" customHeight="1" x14ac:dyDescent="0.3">
      <c r="C786" s="2"/>
      <c r="S786" s="2"/>
    </row>
    <row r="787" spans="3:19" ht="15.75" customHeight="1" x14ac:dyDescent="0.3">
      <c r="C787" s="2"/>
      <c r="S787" s="2"/>
    </row>
    <row r="788" spans="3:19" ht="15.75" customHeight="1" x14ac:dyDescent="0.3">
      <c r="C788" s="2"/>
      <c r="S788" s="2"/>
    </row>
    <row r="789" spans="3:19" ht="15.75" customHeight="1" x14ac:dyDescent="0.3">
      <c r="C789" s="2"/>
      <c r="S789" s="2"/>
    </row>
    <row r="790" spans="3:19" ht="15.75" customHeight="1" x14ac:dyDescent="0.3">
      <c r="C790" s="2"/>
      <c r="S790" s="2"/>
    </row>
    <row r="791" spans="3:19" ht="15.75" customHeight="1" x14ac:dyDescent="0.3">
      <c r="C791" s="2"/>
      <c r="S791" s="2"/>
    </row>
    <row r="792" spans="3:19" ht="15.75" customHeight="1" x14ac:dyDescent="0.3">
      <c r="C792" s="2"/>
      <c r="S792" s="2"/>
    </row>
    <row r="793" spans="3:19" ht="15.75" customHeight="1" x14ac:dyDescent="0.3">
      <c r="C793" s="2"/>
      <c r="S793" s="2"/>
    </row>
    <row r="794" spans="3:19" ht="15.75" customHeight="1" x14ac:dyDescent="0.3">
      <c r="C794" s="2"/>
      <c r="S794" s="2"/>
    </row>
    <row r="795" spans="3:19" ht="15.75" customHeight="1" x14ac:dyDescent="0.3">
      <c r="C795" s="2"/>
      <c r="S795" s="2"/>
    </row>
    <row r="796" spans="3:19" ht="15.75" customHeight="1" x14ac:dyDescent="0.3">
      <c r="C796" s="2"/>
      <c r="S796" s="2"/>
    </row>
    <row r="797" spans="3:19" ht="15.75" customHeight="1" x14ac:dyDescent="0.3">
      <c r="C797" s="2"/>
      <c r="S797" s="2"/>
    </row>
    <row r="798" spans="3:19" ht="15.75" customHeight="1" x14ac:dyDescent="0.3">
      <c r="C798" s="2"/>
      <c r="S798" s="2"/>
    </row>
    <row r="799" spans="3:19" ht="15.75" customHeight="1" x14ac:dyDescent="0.3">
      <c r="C799" s="2"/>
      <c r="S799" s="2"/>
    </row>
    <row r="800" spans="3:19" ht="15.75" customHeight="1" x14ac:dyDescent="0.3">
      <c r="C800" s="2"/>
      <c r="S800" s="2"/>
    </row>
    <row r="801" spans="3:19" ht="15.75" customHeight="1" x14ac:dyDescent="0.3">
      <c r="C801" s="2"/>
      <c r="S801" s="2"/>
    </row>
    <row r="802" spans="3:19" ht="15.75" customHeight="1" x14ac:dyDescent="0.3">
      <c r="C802" s="2"/>
      <c r="S802" s="2"/>
    </row>
    <row r="803" spans="3:19" ht="15.75" customHeight="1" x14ac:dyDescent="0.3">
      <c r="C803" s="2"/>
      <c r="S803" s="2"/>
    </row>
    <row r="804" spans="3:19" ht="15.75" customHeight="1" x14ac:dyDescent="0.3">
      <c r="C804" s="2"/>
      <c r="S804" s="2"/>
    </row>
    <row r="805" spans="3:19" ht="15.75" customHeight="1" x14ac:dyDescent="0.3">
      <c r="C805" s="2"/>
      <c r="S805" s="2"/>
    </row>
    <row r="806" spans="3:19" ht="15.75" customHeight="1" x14ac:dyDescent="0.3">
      <c r="C806" s="2"/>
      <c r="S806" s="2"/>
    </row>
    <row r="807" spans="3:19" ht="15.75" customHeight="1" x14ac:dyDescent="0.3">
      <c r="C807" s="2"/>
      <c r="S807" s="2"/>
    </row>
    <row r="808" spans="3:19" ht="15.75" customHeight="1" x14ac:dyDescent="0.3">
      <c r="C808" s="2"/>
      <c r="S808" s="2"/>
    </row>
    <row r="809" spans="3:19" ht="15.75" customHeight="1" x14ac:dyDescent="0.3">
      <c r="C809" s="2"/>
      <c r="S809" s="2"/>
    </row>
    <row r="810" spans="3:19" ht="15.75" customHeight="1" x14ac:dyDescent="0.3">
      <c r="C810" s="2"/>
      <c r="S810" s="2"/>
    </row>
    <row r="811" spans="3:19" ht="15.75" customHeight="1" x14ac:dyDescent="0.3">
      <c r="C811" s="2"/>
      <c r="S811" s="2"/>
    </row>
    <row r="812" spans="3:19" ht="15.75" customHeight="1" x14ac:dyDescent="0.3">
      <c r="C812" s="2"/>
      <c r="S812" s="2"/>
    </row>
    <row r="813" spans="3:19" ht="15.75" customHeight="1" x14ac:dyDescent="0.3">
      <c r="C813" s="2"/>
      <c r="S813" s="2"/>
    </row>
    <row r="814" spans="3:19" ht="15.75" customHeight="1" x14ac:dyDescent="0.3">
      <c r="C814" s="2"/>
      <c r="S814" s="2"/>
    </row>
    <row r="815" spans="3:19" ht="15.75" customHeight="1" x14ac:dyDescent="0.3">
      <c r="C815" s="2"/>
      <c r="S815" s="2"/>
    </row>
    <row r="816" spans="3:19" ht="15.75" customHeight="1" x14ac:dyDescent="0.3">
      <c r="C816" s="2"/>
      <c r="S816" s="2"/>
    </row>
    <row r="817" spans="3:19" ht="15.75" customHeight="1" x14ac:dyDescent="0.3">
      <c r="C817" s="2"/>
      <c r="S817" s="2"/>
    </row>
    <row r="818" spans="3:19" ht="15.75" customHeight="1" x14ac:dyDescent="0.3">
      <c r="C818" s="2"/>
      <c r="S818" s="2"/>
    </row>
    <row r="819" spans="3:19" ht="15.75" customHeight="1" x14ac:dyDescent="0.3">
      <c r="C819" s="2"/>
      <c r="S819" s="2"/>
    </row>
    <row r="820" spans="3:19" ht="15.75" customHeight="1" x14ac:dyDescent="0.3">
      <c r="C820" s="2"/>
      <c r="S820" s="2"/>
    </row>
    <row r="821" spans="3:19" ht="15.75" customHeight="1" x14ac:dyDescent="0.3">
      <c r="C821" s="2"/>
      <c r="S821" s="2"/>
    </row>
    <row r="822" spans="3:19" ht="15.75" customHeight="1" x14ac:dyDescent="0.3">
      <c r="C822" s="2"/>
      <c r="S822" s="2"/>
    </row>
    <row r="823" spans="3:19" ht="15.75" customHeight="1" x14ac:dyDescent="0.3">
      <c r="C823" s="2"/>
      <c r="S823" s="2"/>
    </row>
    <row r="824" spans="3:19" ht="15.75" customHeight="1" x14ac:dyDescent="0.3">
      <c r="C824" s="2"/>
      <c r="S824" s="2"/>
    </row>
    <row r="825" spans="3:19" ht="15.75" customHeight="1" x14ac:dyDescent="0.3">
      <c r="C825" s="2"/>
      <c r="S825" s="2"/>
    </row>
    <row r="826" spans="3:19" ht="15.75" customHeight="1" x14ac:dyDescent="0.3">
      <c r="C826" s="2"/>
      <c r="S826" s="2"/>
    </row>
    <row r="827" spans="3:19" ht="15.75" customHeight="1" x14ac:dyDescent="0.3">
      <c r="C827" s="2"/>
      <c r="S827" s="2"/>
    </row>
    <row r="828" spans="3:19" ht="15.75" customHeight="1" x14ac:dyDescent="0.3">
      <c r="C828" s="2"/>
      <c r="S828" s="2"/>
    </row>
    <row r="829" spans="3:19" ht="15.75" customHeight="1" x14ac:dyDescent="0.3">
      <c r="C829" s="2"/>
      <c r="S829" s="2"/>
    </row>
    <row r="830" spans="3:19" ht="15.75" customHeight="1" x14ac:dyDescent="0.3">
      <c r="C830" s="2"/>
      <c r="S830" s="2"/>
    </row>
    <row r="831" spans="3:19" ht="15.75" customHeight="1" x14ac:dyDescent="0.3">
      <c r="C831" s="2"/>
      <c r="S831" s="2"/>
    </row>
    <row r="832" spans="3:19" ht="15.75" customHeight="1" x14ac:dyDescent="0.3">
      <c r="C832" s="2"/>
      <c r="S832" s="2"/>
    </row>
    <row r="833" spans="3:19" ht="15.75" customHeight="1" x14ac:dyDescent="0.3">
      <c r="C833" s="2"/>
      <c r="S833" s="2"/>
    </row>
    <row r="834" spans="3:19" ht="15.75" customHeight="1" x14ac:dyDescent="0.3">
      <c r="C834" s="2"/>
      <c r="S834" s="2"/>
    </row>
    <row r="835" spans="3:19" ht="15.75" customHeight="1" x14ac:dyDescent="0.3">
      <c r="C835" s="2"/>
      <c r="S835" s="2"/>
    </row>
    <row r="836" spans="3:19" ht="15.75" customHeight="1" x14ac:dyDescent="0.3">
      <c r="C836" s="2"/>
      <c r="S836" s="2"/>
    </row>
    <row r="837" spans="3:19" ht="15.75" customHeight="1" x14ac:dyDescent="0.3">
      <c r="C837" s="2"/>
      <c r="S837" s="2"/>
    </row>
    <row r="838" spans="3:19" ht="15.75" customHeight="1" x14ac:dyDescent="0.3">
      <c r="C838" s="2"/>
      <c r="S838" s="2"/>
    </row>
    <row r="839" spans="3:19" ht="15.75" customHeight="1" x14ac:dyDescent="0.3">
      <c r="C839" s="2"/>
      <c r="S839" s="2"/>
    </row>
    <row r="840" spans="3:19" ht="15.75" customHeight="1" x14ac:dyDescent="0.3">
      <c r="C840" s="2"/>
      <c r="S840" s="2"/>
    </row>
    <row r="841" spans="3:19" ht="15.75" customHeight="1" x14ac:dyDescent="0.3">
      <c r="C841" s="2"/>
      <c r="S841" s="2"/>
    </row>
    <row r="842" spans="3:19" ht="15.75" customHeight="1" x14ac:dyDescent="0.3">
      <c r="C842" s="2"/>
      <c r="S842" s="2"/>
    </row>
    <row r="843" spans="3:19" ht="15.75" customHeight="1" x14ac:dyDescent="0.3">
      <c r="C843" s="2"/>
      <c r="S843" s="2"/>
    </row>
    <row r="844" spans="3:19" ht="15.75" customHeight="1" x14ac:dyDescent="0.3">
      <c r="C844" s="2"/>
      <c r="S844" s="2"/>
    </row>
    <row r="845" spans="3:19" ht="15.75" customHeight="1" x14ac:dyDescent="0.3">
      <c r="C845" s="2"/>
      <c r="S845" s="2"/>
    </row>
    <row r="846" spans="3:19" ht="15.75" customHeight="1" x14ac:dyDescent="0.3">
      <c r="C846" s="2"/>
      <c r="S846" s="2"/>
    </row>
    <row r="847" spans="3:19" ht="15.75" customHeight="1" x14ac:dyDescent="0.3">
      <c r="C847" s="2"/>
      <c r="S847" s="2"/>
    </row>
    <row r="848" spans="3:19" ht="15.75" customHeight="1" x14ac:dyDescent="0.3">
      <c r="C848" s="2"/>
      <c r="S848" s="2"/>
    </row>
    <row r="849" spans="3:19" ht="15.75" customHeight="1" x14ac:dyDescent="0.3">
      <c r="C849" s="2"/>
      <c r="S849" s="2"/>
    </row>
    <row r="850" spans="3:19" ht="15.75" customHeight="1" x14ac:dyDescent="0.3">
      <c r="C850" s="2"/>
      <c r="S850" s="2"/>
    </row>
    <row r="851" spans="3:19" ht="15.75" customHeight="1" x14ac:dyDescent="0.3">
      <c r="C851" s="2"/>
      <c r="S851" s="2"/>
    </row>
    <row r="852" spans="3:19" ht="15.75" customHeight="1" x14ac:dyDescent="0.3">
      <c r="C852" s="2"/>
      <c r="S852" s="2"/>
    </row>
    <row r="853" spans="3:19" ht="15.75" customHeight="1" x14ac:dyDescent="0.3">
      <c r="C853" s="2"/>
      <c r="S853" s="2"/>
    </row>
    <row r="854" spans="3:19" ht="15.75" customHeight="1" x14ac:dyDescent="0.3">
      <c r="C854" s="2"/>
      <c r="S854" s="2"/>
    </row>
    <row r="855" spans="3:19" ht="15.75" customHeight="1" x14ac:dyDescent="0.3">
      <c r="C855" s="2"/>
      <c r="S855" s="2"/>
    </row>
    <row r="856" spans="3:19" ht="15.75" customHeight="1" x14ac:dyDescent="0.3">
      <c r="C856" s="2"/>
      <c r="S856" s="2"/>
    </row>
    <row r="857" spans="3:19" ht="15.75" customHeight="1" x14ac:dyDescent="0.3">
      <c r="C857" s="2"/>
      <c r="S857" s="2"/>
    </row>
    <row r="858" spans="3:19" ht="15.75" customHeight="1" x14ac:dyDescent="0.3">
      <c r="C858" s="2"/>
      <c r="S858" s="2"/>
    </row>
    <row r="859" spans="3:19" ht="15.75" customHeight="1" x14ac:dyDescent="0.3">
      <c r="C859" s="2"/>
      <c r="S859" s="2"/>
    </row>
    <row r="860" spans="3:19" ht="15.75" customHeight="1" x14ac:dyDescent="0.3">
      <c r="C860" s="2"/>
      <c r="S860" s="2"/>
    </row>
    <row r="861" spans="3:19" ht="15.75" customHeight="1" x14ac:dyDescent="0.3">
      <c r="C861" s="2"/>
      <c r="S861" s="2"/>
    </row>
    <row r="862" spans="3:19" ht="15.75" customHeight="1" x14ac:dyDescent="0.3">
      <c r="C862" s="2"/>
      <c r="S862" s="2"/>
    </row>
    <row r="863" spans="3:19" ht="15.75" customHeight="1" x14ac:dyDescent="0.3">
      <c r="C863" s="2"/>
      <c r="S863" s="2"/>
    </row>
    <row r="864" spans="3:19" ht="15.75" customHeight="1" x14ac:dyDescent="0.3">
      <c r="C864" s="2"/>
      <c r="S864" s="2"/>
    </row>
    <row r="865" spans="3:19" ht="15.75" customHeight="1" x14ac:dyDescent="0.3">
      <c r="C865" s="2"/>
      <c r="S865" s="2"/>
    </row>
    <row r="866" spans="3:19" ht="15.75" customHeight="1" x14ac:dyDescent="0.3">
      <c r="C866" s="2"/>
      <c r="S866" s="2"/>
    </row>
    <row r="867" spans="3:19" ht="15.75" customHeight="1" x14ac:dyDescent="0.3">
      <c r="C867" s="2"/>
      <c r="S867" s="2"/>
    </row>
    <row r="868" spans="3:19" ht="15.75" customHeight="1" x14ac:dyDescent="0.3">
      <c r="C868" s="2"/>
      <c r="S868" s="2"/>
    </row>
    <row r="869" spans="3:19" ht="15.75" customHeight="1" x14ac:dyDescent="0.3">
      <c r="C869" s="2"/>
      <c r="S869" s="2"/>
    </row>
    <row r="870" spans="3:19" ht="15.75" customHeight="1" x14ac:dyDescent="0.3">
      <c r="C870" s="2"/>
      <c r="S870" s="2"/>
    </row>
    <row r="871" spans="3:19" ht="15.75" customHeight="1" x14ac:dyDescent="0.3">
      <c r="C871" s="2"/>
      <c r="S871" s="2"/>
    </row>
    <row r="872" spans="3:19" ht="15.75" customHeight="1" x14ac:dyDescent="0.3">
      <c r="C872" s="2"/>
      <c r="S872" s="2"/>
    </row>
    <row r="873" spans="3:19" ht="15.75" customHeight="1" x14ac:dyDescent="0.3">
      <c r="C873" s="2"/>
      <c r="S873" s="2"/>
    </row>
    <row r="874" spans="3:19" ht="15.75" customHeight="1" x14ac:dyDescent="0.3">
      <c r="C874" s="2"/>
      <c r="S874" s="2"/>
    </row>
    <row r="875" spans="3:19" ht="15.75" customHeight="1" x14ac:dyDescent="0.3">
      <c r="C875" s="2"/>
      <c r="S875" s="2"/>
    </row>
    <row r="876" spans="3:19" ht="15.75" customHeight="1" x14ac:dyDescent="0.3">
      <c r="C876" s="2"/>
      <c r="S876" s="2"/>
    </row>
    <row r="877" spans="3:19" ht="15.75" customHeight="1" x14ac:dyDescent="0.3">
      <c r="C877" s="2"/>
      <c r="S877" s="2"/>
    </row>
    <row r="878" spans="3:19" ht="15.75" customHeight="1" x14ac:dyDescent="0.3">
      <c r="C878" s="2"/>
      <c r="S878" s="2"/>
    </row>
    <row r="879" spans="3:19" ht="15.75" customHeight="1" x14ac:dyDescent="0.3">
      <c r="C879" s="2"/>
      <c r="S879" s="2"/>
    </row>
    <row r="880" spans="3:19" ht="15.75" customHeight="1" x14ac:dyDescent="0.3">
      <c r="C880" s="2"/>
      <c r="S880" s="2"/>
    </row>
    <row r="881" spans="3:19" ht="15.75" customHeight="1" x14ac:dyDescent="0.3">
      <c r="C881" s="2"/>
      <c r="S881" s="2"/>
    </row>
    <row r="882" spans="3:19" ht="15.75" customHeight="1" x14ac:dyDescent="0.3">
      <c r="C882" s="2"/>
      <c r="S882" s="2"/>
    </row>
    <row r="883" spans="3:19" ht="15.75" customHeight="1" x14ac:dyDescent="0.3">
      <c r="C883" s="2"/>
      <c r="S883" s="2"/>
    </row>
    <row r="884" spans="3:19" ht="15.75" customHeight="1" x14ac:dyDescent="0.3">
      <c r="C884" s="2"/>
      <c r="S884" s="2"/>
    </row>
    <row r="885" spans="3:19" ht="15.75" customHeight="1" x14ac:dyDescent="0.3">
      <c r="C885" s="2"/>
      <c r="S885" s="2"/>
    </row>
    <row r="886" spans="3:19" ht="15.75" customHeight="1" x14ac:dyDescent="0.3">
      <c r="C886" s="2"/>
      <c r="S886" s="2"/>
    </row>
    <row r="887" spans="3:19" ht="15.75" customHeight="1" x14ac:dyDescent="0.3">
      <c r="C887" s="2"/>
      <c r="S887" s="2"/>
    </row>
    <row r="888" spans="3:19" ht="15.75" customHeight="1" x14ac:dyDescent="0.3">
      <c r="C888" s="2"/>
      <c r="S888" s="2"/>
    </row>
    <row r="889" spans="3:19" ht="15.75" customHeight="1" x14ac:dyDescent="0.3">
      <c r="C889" s="2"/>
      <c r="S889" s="2"/>
    </row>
    <row r="890" spans="3:19" ht="15.75" customHeight="1" x14ac:dyDescent="0.3">
      <c r="C890" s="2"/>
      <c r="S890" s="2"/>
    </row>
    <row r="891" spans="3:19" ht="15.75" customHeight="1" x14ac:dyDescent="0.3">
      <c r="C891" s="2"/>
      <c r="S891" s="2"/>
    </row>
    <row r="892" spans="3:19" ht="15.75" customHeight="1" x14ac:dyDescent="0.3">
      <c r="C892" s="2"/>
      <c r="S892" s="2"/>
    </row>
    <row r="893" spans="3:19" ht="15.75" customHeight="1" x14ac:dyDescent="0.3">
      <c r="C893" s="2"/>
      <c r="S893" s="2"/>
    </row>
    <row r="894" spans="3:19" ht="15.75" customHeight="1" x14ac:dyDescent="0.3">
      <c r="C894" s="2"/>
      <c r="S894" s="2"/>
    </row>
    <row r="895" spans="3:19" ht="15.75" customHeight="1" x14ac:dyDescent="0.3">
      <c r="C895" s="2"/>
      <c r="S895" s="2"/>
    </row>
    <row r="896" spans="3:19" ht="15.75" customHeight="1" x14ac:dyDescent="0.3">
      <c r="C896" s="2"/>
      <c r="S896" s="2"/>
    </row>
    <row r="897" spans="3:19" ht="15.75" customHeight="1" x14ac:dyDescent="0.3">
      <c r="C897" s="2"/>
      <c r="S897" s="2"/>
    </row>
    <row r="898" spans="3:19" ht="15.75" customHeight="1" x14ac:dyDescent="0.3">
      <c r="C898" s="2"/>
      <c r="S898" s="2"/>
    </row>
    <row r="899" spans="3:19" ht="15.75" customHeight="1" x14ac:dyDescent="0.3">
      <c r="C899" s="2"/>
      <c r="S899" s="2"/>
    </row>
    <row r="900" spans="3:19" ht="15.75" customHeight="1" x14ac:dyDescent="0.3">
      <c r="C900" s="2"/>
      <c r="S900" s="2"/>
    </row>
    <row r="901" spans="3:19" ht="15.75" customHeight="1" x14ac:dyDescent="0.3">
      <c r="C901" s="2"/>
      <c r="S901" s="2"/>
    </row>
    <row r="902" spans="3:19" ht="15.75" customHeight="1" x14ac:dyDescent="0.3">
      <c r="C902" s="2"/>
      <c r="S902" s="2"/>
    </row>
    <row r="903" spans="3:19" ht="15.75" customHeight="1" x14ac:dyDescent="0.3">
      <c r="C903" s="2"/>
      <c r="S903" s="2"/>
    </row>
    <row r="904" spans="3:19" ht="15.75" customHeight="1" x14ac:dyDescent="0.3">
      <c r="C904" s="2"/>
      <c r="S904" s="2"/>
    </row>
    <row r="905" spans="3:19" ht="15.75" customHeight="1" x14ac:dyDescent="0.3">
      <c r="C905" s="2"/>
      <c r="S905" s="2"/>
    </row>
    <row r="906" spans="3:19" ht="15.75" customHeight="1" x14ac:dyDescent="0.3">
      <c r="C906" s="2"/>
      <c r="S906" s="2"/>
    </row>
    <row r="907" spans="3:19" ht="15.75" customHeight="1" x14ac:dyDescent="0.3">
      <c r="C907" s="2"/>
      <c r="S907" s="2"/>
    </row>
    <row r="908" spans="3:19" ht="15.75" customHeight="1" x14ac:dyDescent="0.3">
      <c r="C908" s="2"/>
      <c r="S908" s="2"/>
    </row>
    <row r="909" spans="3:19" ht="15.75" customHeight="1" x14ac:dyDescent="0.3">
      <c r="C909" s="2"/>
      <c r="S909" s="2"/>
    </row>
    <row r="910" spans="3:19" ht="15.75" customHeight="1" x14ac:dyDescent="0.3">
      <c r="C910" s="2"/>
      <c r="S910" s="2"/>
    </row>
    <row r="911" spans="3:19" ht="15.75" customHeight="1" x14ac:dyDescent="0.3">
      <c r="C911" s="2"/>
      <c r="S911" s="2"/>
    </row>
    <row r="912" spans="3:19" ht="15.75" customHeight="1" x14ac:dyDescent="0.3">
      <c r="C912" s="2"/>
      <c r="S912" s="2"/>
    </row>
    <row r="913" spans="3:19" ht="15.75" customHeight="1" x14ac:dyDescent="0.3">
      <c r="C913" s="2"/>
      <c r="S913" s="2"/>
    </row>
    <row r="914" spans="3:19" ht="15.75" customHeight="1" x14ac:dyDescent="0.3">
      <c r="C914" s="2"/>
      <c r="S914" s="2"/>
    </row>
    <row r="915" spans="3:19" ht="15.75" customHeight="1" x14ac:dyDescent="0.3">
      <c r="C915" s="2"/>
      <c r="S915" s="2"/>
    </row>
    <row r="916" spans="3:19" ht="15.75" customHeight="1" x14ac:dyDescent="0.3">
      <c r="C916" s="2"/>
      <c r="S916" s="2"/>
    </row>
    <row r="917" spans="3:19" ht="15.75" customHeight="1" x14ac:dyDescent="0.3">
      <c r="C917" s="2"/>
      <c r="S917" s="2"/>
    </row>
    <row r="918" spans="3:19" ht="15.75" customHeight="1" x14ac:dyDescent="0.3">
      <c r="C918" s="2"/>
      <c r="S918" s="2"/>
    </row>
    <row r="919" spans="3:19" ht="15.75" customHeight="1" x14ac:dyDescent="0.3">
      <c r="C919" s="2"/>
      <c r="S919" s="2"/>
    </row>
    <row r="920" spans="3:19" ht="15.75" customHeight="1" x14ac:dyDescent="0.3">
      <c r="C920" s="2"/>
      <c r="S920" s="2"/>
    </row>
    <row r="921" spans="3:19" ht="15.75" customHeight="1" x14ac:dyDescent="0.3">
      <c r="C921" s="2"/>
      <c r="S921" s="2"/>
    </row>
    <row r="922" spans="3:19" ht="15.75" customHeight="1" x14ac:dyDescent="0.3">
      <c r="C922" s="2"/>
      <c r="S922" s="2"/>
    </row>
    <row r="923" spans="3:19" ht="15.75" customHeight="1" x14ac:dyDescent="0.3">
      <c r="C923" s="2"/>
      <c r="S923" s="2"/>
    </row>
    <row r="924" spans="3:19" ht="15.75" customHeight="1" x14ac:dyDescent="0.3">
      <c r="C924" s="2"/>
      <c r="S924" s="2"/>
    </row>
    <row r="925" spans="3:19" ht="15.75" customHeight="1" x14ac:dyDescent="0.3">
      <c r="C925" s="2"/>
      <c r="S925" s="2"/>
    </row>
    <row r="926" spans="3:19" ht="15.75" customHeight="1" x14ac:dyDescent="0.3">
      <c r="C926" s="2"/>
      <c r="S926" s="2"/>
    </row>
    <row r="927" spans="3:19" ht="15.75" customHeight="1" x14ac:dyDescent="0.3">
      <c r="C927" s="2"/>
      <c r="S927" s="2"/>
    </row>
    <row r="928" spans="3:19" ht="15.75" customHeight="1" x14ac:dyDescent="0.3">
      <c r="C928" s="2"/>
      <c r="S928" s="2"/>
    </row>
    <row r="929" spans="3:19" ht="15.75" customHeight="1" x14ac:dyDescent="0.3">
      <c r="C929" s="2"/>
      <c r="S929" s="2"/>
    </row>
    <row r="930" spans="3:19" ht="15.75" customHeight="1" x14ac:dyDescent="0.3">
      <c r="C930" s="2"/>
      <c r="S930" s="2"/>
    </row>
    <row r="931" spans="3:19" ht="15.75" customHeight="1" x14ac:dyDescent="0.3">
      <c r="C931" s="2"/>
      <c r="S931" s="2"/>
    </row>
    <row r="932" spans="3:19" ht="15.75" customHeight="1" x14ac:dyDescent="0.3">
      <c r="C932" s="2"/>
      <c r="S932" s="2"/>
    </row>
    <row r="933" spans="3:19" ht="15.75" customHeight="1" x14ac:dyDescent="0.3">
      <c r="C933" s="2"/>
      <c r="S933" s="2"/>
    </row>
    <row r="934" spans="3:19" ht="15.75" customHeight="1" x14ac:dyDescent="0.3">
      <c r="C934" s="2"/>
      <c r="S934" s="2"/>
    </row>
    <row r="935" spans="3:19" ht="15.75" customHeight="1" x14ac:dyDescent="0.3">
      <c r="C935" s="2"/>
      <c r="S935" s="2"/>
    </row>
    <row r="936" spans="3:19" ht="15.75" customHeight="1" x14ac:dyDescent="0.3">
      <c r="C936" s="2"/>
      <c r="S936" s="2"/>
    </row>
    <row r="937" spans="3:19" ht="15.75" customHeight="1" x14ac:dyDescent="0.3">
      <c r="C937" s="2"/>
      <c r="S937" s="2"/>
    </row>
    <row r="938" spans="3:19" ht="15.75" customHeight="1" x14ac:dyDescent="0.3">
      <c r="C938" s="2"/>
      <c r="S938" s="2"/>
    </row>
    <row r="939" spans="3:19" ht="15.75" customHeight="1" x14ac:dyDescent="0.3">
      <c r="C939" s="2"/>
      <c r="S939" s="2"/>
    </row>
    <row r="940" spans="3:19" ht="15.75" customHeight="1" x14ac:dyDescent="0.3">
      <c r="C940" s="2"/>
      <c r="S940" s="2"/>
    </row>
    <row r="941" spans="3:19" ht="15.75" customHeight="1" x14ac:dyDescent="0.3">
      <c r="C941" s="2"/>
      <c r="S941" s="2"/>
    </row>
    <row r="942" spans="3:19" ht="15.75" customHeight="1" x14ac:dyDescent="0.3">
      <c r="C942" s="2"/>
      <c r="S942" s="2"/>
    </row>
    <row r="943" spans="3:19" ht="15.75" customHeight="1" x14ac:dyDescent="0.3">
      <c r="C943" s="2"/>
      <c r="S943" s="2"/>
    </row>
    <row r="944" spans="3:19" ht="15.75" customHeight="1" x14ac:dyDescent="0.3">
      <c r="C944" s="2"/>
      <c r="S944" s="2"/>
    </row>
    <row r="945" spans="3:19" ht="15.75" customHeight="1" x14ac:dyDescent="0.3">
      <c r="C945" s="2"/>
      <c r="S945" s="2"/>
    </row>
    <row r="946" spans="3:19" ht="15.75" customHeight="1" x14ac:dyDescent="0.3">
      <c r="C946" s="2"/>
      <c r="S946" s="2"/>
    </row>
    <row r="947" spans="3:19" ht="15.75" customHeight="1" x14ac:dyDescent="0.3">
      <c r="C947" s="2"/>
      <c r="S947" s="2"/>
    </row>
    <row r="948" spans="3:19" ht="15.75" customHeight="1" x14ac:dyDescent="0.3">
      <c r="C948" s="2"/>
      <c r="S948" s="2"/>
    </row>
    <row r="949" spans="3:19" ht="15.75" customHeight="1" x14ac:dyDescent="0.3">
      <c r="C949" s="2"/>
      <c r="S949" s="2"/>
    </row>
    <row r="950" spans="3:19" ht="15.75" customHeight="1" x14ac:dyDescent="0.3">
      <c r="C950" s="2"/>
      <c r="S950" s="2"/>
    </row>
    <row r="951" spans="3:19" ht="15.75" customHeight="1" x14ac:dyDescent="0.3">
      <c r="C951" s="2"/>
      <c r="S951" s="2"/>
    </row>
    <row r="952" spans="3:19" ht="15.75" customHeight="1" x14ac:dyDescent="0.3">
      <c r="C952" s="2"/>
      <c r="S952" s="2"/>
    </row>
    <row r="953" spans="3:19" ht="15.75" customHeight="1" x14ac:dyDescent="0.3">
      <c r="C953" s="2"/>
      <c r="S953" s="2"/>
    </row>
    <row r="954" spans="3:19" ht="15.75" customHeight="1" x14ac:dyDescent="0.3">
      <c r="C954" s="2"/>
      <c r="S954" s="2"/>
    </row>
    <row r="955" spans="3:19" ht="15.75" customHeight="1" x14ac:dyDescent="0.3">
      <c r="C955" s="2"/>
      <c r="S955" s="2"/>
    </row>
    <row r="956" spans="3:19" ht="15.75" customHeight="1" x14ac:dyDescent="0.3">
      <c r="C956" s="2"/>
      <c r="S956" s="2"/>
    </row>
    <row r="957" spans="3:19" ht="15.75" customHeight="1" x14ac:dyDescent="0.3">
      <c r="C957" s="2"/>
      <c r="S957" s="2"/>
    </row>
    <row r="958" spans="3:19" ht="15.75" customHeight="1" x14ac:dyDescent="0.3">
      <c r="C958" s="2"/>
      <c r="S958" s="2"/>
    </row>
    <row r="959" spans="3:19" ht="15.75" customHeight="1" x14ac:dyDescent="0.3">
      <c r="C959" s="2"/>
      <c r="S959" s="2"/>
    </row>
    <row r="960" spans="3:19" ht="15.75" customHeight="1" x14ac:dyDescent="0.3">
      <c r="C960" s="2"/>
      <c r="S960" s="2"/>
    </row>
    <row r="961" spans="3:19" ht="15.75" customHeight="1" x14ac:dyDescent="0.3">
      <c r="C961" s="2"/>
      <c r="S961" s="2"/>
    </row>
    <row r="962" spans="3:19" ht="15.75" customHeight="1" x14ac:dyDescent="0.3">
      <c r="C962" s="2"/>
      <c r="S962" s="2"/>
    </row>
    <row r="963" spans="3:19" ht="15.75" customHeight="1" x14ac:dyDescent="0.3">
      <c r="C963" s="2"/>
      <c r="S963" s="2"/>
    </row>
    <row r="964" spans="3:19" ht="15.75" customHeight="1" x14ac:dyDescent="0.3">
      <c r="C964" s="2"/>
      <c r="S964" s="2"/>
    </row>
    <row r="965" spans="3:19" ht="15.75" customHeight="1" x14ac:dyDescent="0.3">
      <c r="C965" s="2"/>
      <c r="S965" s="2"/>
    </row>
    <row r="966" spans="3:19" ht="15.75" customHeight="1" x14ac:dyDescent="0.3">
      <c r="C966" s="2"/>
      <c r="S966" s="2"/>
    </row>
    <row r="967" spans="3:19" ht="15.75" customHeight="1" x14ac:dyDescent="0.3">
      <c r="C967" s="2"/>
      <c r="S967" s="2"/>
    </row>
    <row r="968" spans="3:19" ht="15.75" customHeight="1" x14ac:dyDescent="0.3">
      <c r="C968" s="2"/>
      <c r="S968" s="2"/>
    </row>
    <row r="969" spans="3:19" ht="15.75" customHeight="1" x14ac:dyDescent="0.3">
      <c r="C969" s="2"/>
      <c r="S969" s="2"/>
    </row>
    <row r="970" spans="3:19" ht="15.75" customHeight="1" x14ac:dyDescent="0.3">
      <c r="C970" s="2"/>
      <c r="S970" s="2"/>
    </row>
    <row r="971" spans="3:19" ht="15.75" customHeight="1" x14ac:dyDescent="0.3">
      <c r="C971" s="2"/>
      <c r="S971" s="2"/>
    </row>
    <row r="972" spans="3:19" ht="15.75" customHeight="1" x14ac:dyDescent="0.3">
      <c r="C972" s="2"/>
      <c r="S972" s="2"/>
    </row>
    <row r="973" spans="3:19" ht="15.75" customHeight="1" x14ac:dyDescent="0.3">
      <c r="C973" s="2"/>
      <c r="S973" s="2"/>
    </row>
    <row r="974" spans="3:19" ht="15.75" customHeight="1" x14ac:dyDescent="0.3">
      <c r="C974" s="2"/>
      <c r="S974" s="2"/>
    </row>
    <row r="975" spans="3:19" ht="15.75" customHeight="1" x14ac:dyDescent="0.3">
      <c r="C975" s="2"/>
      <c r="S975" s="2"/>
    </row>
    <row r="976" spans="3:19" ht="15.75" customHeight="1" x14ac:dyDescent="0.3">
      <c r="C976" s="2"/>
      <c r="S976" s="2"/>
    </row>
    <row r="977" spans="3:19" ht="15.75" customHeight="1" x14ac:dyDescent="0.3">
      <c r="C977" s="2"/>
      <c r="S977" s="2"/>
    </row>
    <row r="978" spans="3:19" ht="15.75" customHeight="1" x14ac:dyDescent="0.3">
      <c r="C978" s="2"/>
      <c r="S978" s="2"/>
    </row>
    <row r="979" spans="3:19" ht="15.75" customHeight="1" x14ac:dyDescent="0.3">
      <c r="C979" s="2"/>
      <c r="S979" s="2"/>
    </row>
    <row r="980" spans="3:19" ht="15.75" customHeight="1" x14ac:dyDescent="0.3">
      <c r="C980" s="2"/>
      <c r="S980" s="2"/>
    </row>
    <row r="981" spans="3:19" ht="15.75" customHeight="1" x14ac:dyDescent="0.3">
      <c r="C981" s="2"/>
      <c r="S981" s="2"/>
    </row>
    <row r="982" spans="3:19" ht="15.75" customHeight="1" x14ac:dyDescent="0.3">
      <c r="C982" s="2"/>
      <c r="S982" s="2"/>
    </row>
    <row r="983" spans="3:19" ht="15.75" customHeight="1" x14ac:dyDescent="0.3">
      <c r="C983" s="2"/>
      <c r="S983" s="2"/>
    </row>
    <row r="984" spans="3:19" ht="15.75" customHeight="1" x14ac:dyDescent="0.3">
      <c r="C984" s="2"/>
      <c r="S984" s="2"/>
    </row>
    <row r="985" spans="3:19" ht="15.75" customHeight="1" x14ac:dyDescent="0.3">
      <c r="C985" s="2"/>
      <c r="S985" s="2"/>
    </row>
    <row r="986" spans="3:19" ht="15.75" customHeight="1" x14ac:dyDescent="0.3">
      <c r="C986" s="2"/>
      <c r="S986" s="2"/>
    </row>
    <row r="987" spans="3:19" ht="15.75" customHeight="1" x14ac:dyDescent="0.3">
      <c r="C987" s="2"/>
      <c r="S987" s="2"/>
    </row>
    <row r="988" spans="3:19" ht="15.75" customHeight="1" x14ac:dyDescent="0.3">
      <c r="C988" s="2"/>
      <c r="S988" s="2"/>
    </row>
    <row r="989" spans="3:19" ht="15.75" customHeight="1" x14ac:dyDescent="0.3">
      <c r="C989" s="2"/>
      <c r="S989" s="2"/>
    </row>
    <row r="990" spans="3:19" ht="15.75" customHeight="1" x14ac:dyDescent="0.3">
      <c r="C990" s="2"/>
      <c r="S990" s="2"/>
    </row>
    <row r="991" spans="3:19" ht="15.75" customHeight="1" x14ac:dyDescent="0.3">
      <c r="C991" s="2"/>
      <c r="S991" s="2"/>
    </row>
    <row r="992" spans="3:19" ht="15.75" customHeight="1" x14ac:dyDescent="0.3">
      <c r="C992" s="2"/>
      <c r="S992" s="2"/>
    </row>
    <row r="993" spans="3:19" ht="15.75" customHeight="1" x14ac:dyDescent="0.3">
      <c r="C993" s="2"/>
      <c r="S993" s="2"/>
    </row>
    <row r="994" spans="3:19" ht="15.75" customHeight="1" x14ac:dyDescent="0.3">
      <c r="C994" s="2"/>
      <c r="S994" s="2"/>
    </row>
    <row r="995" spans="3:19" ht="15.75" customHeight="1" x14ac:dyDescent="0.3">
      <c r="C995" s="2"/>
      <c r="S995" s="2"/>
    </row>
    <row r="996" spans="3:19" ht="15.75" customHeight="1" x14ac:dyDescent="0.3">
      <c r="C996" s="2"/>
      <c r="S996" s="2"/>
    </row>
    <row r="997" spans="3:19" ht="15.75" customHeight="1" x14ac:dyDescent="0.3">
      <c r="C997" s="2"/>
      <c r="S997" s="2"/>
    </row>
    <row r="998" spans="3:19" ht="15.75" customHeight="1" x14ac:dyDescent="0.3">
      <c r="C998" s="2"/>
      <c r="S998" s="2"/>
    </row>
    <row r="999" spans="3:19" ht="15.75" customHeight="1" x14ac:dyDescent="0.3">
      <c r="C999" s="2"/>
      <c r="S999" s="2"/>
    </row>
    <row r="1000" spans="3:19" ht="15.75" customHeight="1" x14ac:dyDescent="0.3">
      <c r="C1000" s="2"/>
      <c r="S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BBDD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 CINDA</dc:creator>
  <cp:lastModifiedBy>CONCYTEC</cp:lastModifiedBy>
  <dcterms:created xsi:type="dcterms:W3CDTF">2025-11-18T16:13:01Z</dcterms:created>
  <dcterms:modified xsi:type="dcterms:W3CDTF">2025-12-11T18:39:24Z</dcterms:modified>
</cp:coreProperties>
</file>